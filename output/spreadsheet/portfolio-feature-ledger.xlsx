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eatures" sheetId="2" state="visible" r:id="rId2"/>
    <sheet name="Defects" sheetId="3" state="visible" r:id="rId3"/>
    <sheet name="Test Runs" sheetId="4" state="visible" r:id="rId4"/>
    <sheet name="Lists" sheetId="5" state="visible" r:id="rId5"/>
  </sheets>
  <definedNames>
    <definedName name="FeaturePhases">'Lists'!$A$2:$A$2</definedName>
    <definedName name="DefectPhases">'Lists'!$B$2:$B$5</definedName>
    <definedName name="LifecycleStatuses">'Lists'!$C$2:$C$8</definedName>
    <definedName name="Severities">'Lists'!$D$2:$D$5</definedName>
    <definedName name="Owners">'Lists'!$E$2:$E$8</definedName>
    <definedName name="TestResults">'Lists'!$G$2:$G$6</definedName>
    <definedName name="ActivationStates">'Lists'!$I$2:$I$3</definedName>
    <definedName name="VerificationStatuses">'Lists'!$F$2:$F$6</definedName>
    <definedName name="FixStatuses">'Lists'!$J$2:$J$6</definedName>
    <definedName name="_xlnm.Print_Area" localSheetId="0">'Summary'!$A$1:$F$40</definedName>
    <definedName name="_xlnm._FilterDatabase" localSheetId="1" hidden="1">'Features'!$A$1:$V$78</definedName>
    <definedName name="_xlnm.Print_Titles" localSheetId="1">'Features'!$1:$1,'Features'!$A:$D</definedName>
    <definedName name="_xlnm.Print_Area" localSheetId="1">'Features'!$A$1:$V$79</definedName>
    <definedName name="_xlnm._FilterDatabase" localSheetId="2" hidden="1">'Defects'!$A$1:$R$14</definedName>
    <definedName name="_xlnm.Print_Titles" localSheetId="2">'Defects'!$1:$1,'Defects'!$A:$D</definedName>
    <definedName name="_xlnm.Print_Area" localSheetId="2">'Defects'!$A$1:$R$14</definedName>
    <definedName name="_xlnm._FilterDatabase" localSheetId="3" hidden="1">'Test Runs'!$A$1:$L$31</definedName>
    <definedName name="_xlnm.Print_Titles" localSheetId="3">'Test Runs'!$1:$1,'Test Runs'!$A:$D</definedName>
    <definedName name="_xlnm.Print_Area" localSheetId="3">'Test Runs'!$A$1:$L$31</definedName>
    <definedName name="_xlnm._FilterDatabase" localSheetId="4" hidden="1">'Lists'!$A$1:$J$8</definedName>
  </definedNames>
  <calcPr calcId="124519" calcMode="auto" fullCalcOnLoad="1" forceFullCalc="1"/>
</workbook>
</file>

<file path=xl/styles.xml><?xml version="1.0" encoding="utf-8"?>
<styleSheet xmlns="http://schemas.openxmlformats.org/spreadsheetml/2006/main">
  <numFmts count="1">
    <numFmt numFmtId="164" formatCode="yyyy-mm-dd hh:mm"/>
  </numFmts>
  <fonts count="7">
    <font>
      <name val="Calibri"/>
      <family val="2"/>
      <color theme="1"/>
      <sz val="11"/>
      <scheme val="minor"/>
    </font>
    <font>
      <b val="1"/>
      <color rgb="00FFFFFF"/>
    </font>
    <font>
      <b val="1"/>
      <color rgb="00FFFFFF"/>
      <sz val="20"/>
    </font>
    <font>
      <i val="1"/>
      <color rgb="00666666"/>
      <sz val="11"/>
    </font>
    <font>
      <b val="1"/>
      <color rgb="00666666"/>
    </font>
    <font>
      <b val="1"/>
      <color rgb="000F6B78"/>
      <sz val="18"/>
    </font>
    <font>
      <color rgb="00666666"/>
    </font>
  </fonts>
  <fills count="10">
    <fill>
      <patternFill/>
    </fill>
    <fill>
      <patternFill patternType="gray125"/>
    </fill>
    <fill>
      <patternFill patternType="solid">
        <fgColor rgb="00102A43"/>
      </patternFill>
    </fill>
    <fill>
      <patternFill patternType="solid">
        <fgColor rgb="007030A0"/>
      </patternFill>
    </fill>
    <fill>
      <patternFill patternType="solid">
        <fgColor rgb="000F6B78"/>
      </patternFill>
    </fill>
    <fill>
      <patternFill patternType="solid">
        <fgColor rgb="00DDEBF7"/>
      </patternFill>
    </fill>
    <fill>
      <patternFill patternType="solid">
        <fgColor rgb="001F4E78"/>
      </patternFill>
    </fill>
    <fill>
      <patternFill patternType="solid">
        <fgColor rgb="00F7F9FC"/>
      </patternFill>
    </fill>
    <fill>
      <patternFill patternType="solid">
        <fgColor rgb="00666666"/>
      </patternFill>
    </fill>
    <fill>
      <patternFill patternType="solid">
        <fgColor rgb="00E7E6E6"/>
      </patternFill>
    </fill>
  </fills>
  <borders count="5">
    <border>
      <left/>
      <right/>
      <top/>
      <bottom/>
      <diagonal/>
    </border>
    <border>
      <bottom style="medium">
        <color rgb="0000A6A6"/>
      </bottom>
    </border>
    <border>
      <bottom style="thin">
        <color rgb="00D9E1F2"/>
      </bottom>
    </border>
    <border>
      <left/>
      <right/>
      <top/>
      <bottom style="thin">
        <color rgb="00D9E1F2"/>
      </bottom>
      <diagonal/>
    </border>
    <border>
      <right/>
      <bottom style="thin">
        <color rgb="00D9E1F2"/>
      </bottom>
    </border>
  </borders>
  <cellStyleXfs count="1">
    <xf numFmtId="0" fontId="0" fillId="0" borderId="0"/>
  </cellStyleXfs>
  <cellXfs count="22">
    <xf numFmtId="0" fontId="0" fillId="0" borderId="0" pivotButton="0" quotePrefix="0" xfId="0"/>
    <xf numFmtId="0" fontId="2" fillId="2" borderId="0" applyAlignment="1" pivotButton="0" quotePrefix="0" xfId="0">
      <alignment horizontal="left" vertical="center"/>
    </xf>
    <xf numFmtId="0" fontId="3" fillId="0" borderId="0" applyAlignment="1" pivotButton="0" quotePrefix="0" xfId="0">
      <alignment wrapText="1"/>
    </xf>
    <xf numFmtId="0" fontId="1" fillId="4" borderId="0" pivotButton="0" quotePrefix="0" xfId="0"/>
    <xf numFmtId="0" fontId="4" fillId="0" borderId="0" pivotButton="0" quotePrefix="0" xfId="0"/>
    <xf numFmtId="0" fontId="5" fillId="5" borderId="0" pivotButton="0" quotePrefix="0" xfId="0"/>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2" borderId="0" pivotButton="0" quotePrefix="0" xfId="0"/>
    <xf numFmtId="0" fontId="0" fillId="7" borderId="2" applyAlignment="1" pivotButton="0" quotePrefix="0" xfId="0">
      <alignment vertical="top" wrapText="1"/>
    </xf>
    <xf numFmtId="0" fontId="0" fillId="5" borderId="2" applyAlignment="1" pivotButton="0" quotePrefix="0" xfId="0">
      <alignment vertical="top" wrapText="1"/>
    </xf>
    <xf numFmtId="0" fontId="1" fillId="2" borderId="1" applyAlignment="1" pivotButton="0" quotePrefix="0" xfId="0">
      <alignment horizontal="center" vertical="center" wrapText="1"/>
    </xf>
    <xf numFmtId="0" fontId="0" fillId="0" borderId="2" applyAlignment="1" pivotButton="0" quotePrefix="0" xfId="0">
      <alignment vertical="top" wrapText="1"/>
    </xf>
    <xf numFmtId="164" fontId="0" fillId="0" borderId="2" applyAlignment="1" pivotButton="0" quotePrefix="0" xfId="0">
      <alignment vertical="top" wrapText="1"/>
    </xf>
    <xf numFmtId="0" fontId="1" fillId="8" borderId="1" applyAlignment="1" pivotButton="0" quotePrefix="0" xfId="0">
      <alignment horizontal="center" vertical="center" wrapText="1"/>
    </xf>
    <xf numFmtId="0" fontId="6" fillId="9" borderId="0" applyAlignment="1" pivotButton="0" quotePrefix="0" xfId="0">
      <alignment vertical="top" wrapText="1"/>
    </xf>
    <xf numFmtId="0" fontId="2" fillId="2" borderId="0" applyAlignment="1" pivotButton="0" quotePrefix="0" xfId="0">
      <alignment vertical="center"/>
    </xf>
    <xf numFmtId="164" fontId="0" fillId="0" borderId="2" applyAlignment="1" pivotButton="0" quotePrefix="0" xfId="0">
      <alignment vertical="top" wrapText="1"/>
    </xf>
    <xf numFmtId="0" fontId="0" fillId="0" borderId="3" pivotButton="0" quotePrefix="0" xfId="0"/>
    <xf numFmtId="0" fontId="0" fillId="7" borderId="4" applyAlignment="1" pivotButton="0" quotePrefix="0" xfId="0">
      <alignment vertical="top" wrapText="1"/>
    </xf>
    <xf numFmtId="0" fontId="0" fillId="5" borderId="4" applyAlignment="1" pivotButton="0" quotePrefix="0" xfId="0">
      <alignment vertical="top" wrapText="1"/>
    </xf>
  </cellXfs>
  <cellStyles count="1">
    <cellStyle name="Normal" xfId="0" builtinId="0" hidden="0"/>
  </cellStyles>
  <dxfs count="6">
    <dxf>
      <fill>
        <patternFill patternType="solid">
          <fgColor rgb="00E7E6E6"/>
        </patternFill>
      </fill>
    </dxf>
    <dxf>
      <fill>
        <patternFill patternType="solid">
          <fgColor rgb="00E2F0D9"/>
        </patternFill>
      </fill>
    </dxf>
    <dxf>
      <fill>
        <patternFill patternType="solid">
          <fgColor rgb="00FFF2CC"/>
        </patternFill>
      </fill>
    </dxf>
    <dxf>
      <fill>
        <patternFill patternType="solid">
          <fgColor rgb="00F4CCCC"/>
        </patternFill>
      </fill>
    </dxf>
    <dxf>
      <fill>
        <patternFill patternType="solid">
          <fgColor rgb="00F8CBAD"/>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A6A6"/>
    <outlinePr summaryBelow="1" summaryRight="1"/>
    <pageSetUpPr fitToPage="1"/>
  </sheetPr>
  <dimension ref="A1:F41"/>
  <sheetViews>
    <sheetView showGridLines="0" zoomScale="90" workbookViewId="0">
      <pane ySplit="8" topLeftCell="A9" activePane="bottomLeft" state="frozen"/>
      <selection pane="bottomLeft" activeCell="A1" sqref="A1"/>
    </sheetView>
  </sheetViews>
  <sheetFormatPr baseColWidth="8" defaultRowHeight="15"/>
  <cols>
    <col width="24" customWidth="1" min="1" max="1"/>
    <col width="15" customWidth="1" min="2" max="2"/>
    <col width="24" customWidth="1" min="3" max="3"/>
    <col width="15" customWidth="1" min="4" max="4"/>
    <col width="24" customWidth="1" min="5" max="5"/>
    <col width="15" customWidth="1" min="6" max="6"/>
  </cols>
  <sheetData>
    <row r="1">
      <c r="A1" s="17" t="inlineStr">
        <is>
          <t>Portfolio Feature Ledger</t>
        </is>
      </c>
    </row>
    <row r="2">
      <c r="A2" s="2" t="inlineStr">
        <is>
          <t>Canonical 77-story post-fix reconciliation — 2026-08-23 14:31 America/New_York</t>
        </is>
      </c>
    </row>
    <row r="3"/>
    <row r="4">
      <c r="A4" s="3" t="inlineStr">
        <is>
          <t>Key counts</t>
        </is>
      </c>
    </row>
    <row r="5">
      <c r="A5" s="4" t="inlineStr">
        <is>
          <t>Features</t>
        </is>
      </c>
      <c r="C5" s="4" t="inlineStr">
        <is>
          <t>Candidate defects</t>
        </is>
      </c>
      <c r="E5" s="4" t="inlineStr">
        <is>
          <t>Runtime test runs</t>
        </is>
      </c>
    </row>
    <row r="6">
      <c r="A6" s="5">
        <f>COUNTA(Features!$A$2:$A$78)</f>
        <v/>
      </c>
      <c r="C6" s="5">
        <f>COUNTIF(Defects!$C$2:$C$14,"Candidate")</f>
        <v/>
      </c>
      <c r="E6" s="5">
        <f>COUNTA('Test Runs'!$A$2:$A$31)</f>
        <v/>
      </c>
    </row>
    <row r="7"/>
    <row r="8">
      <c r="A8" t="inlineStr">
        <is>
          <t>Counts by phase</t>
        </is>
      </c>
    </row>
    <row r="9">
      <c r="A9" s="6" t="inlineStr">
        <is>
          <t>Phase</t>
        </is>
      </c>
      <c r="B9" s="6" t="inlineStr">
        <is>
          <t>Features</t>
        </is>
      </c>
      <c r="C9" s="6" t="inlineStr">
        <is>
          <t>Defects</t>
        </is>
      </c>
      <c r="D9" s="6" t="inlineStr">
        <is>
          <t>Test Runs</t>
        </is>
      </c>
      <c r="E9" s="6" t="inlineStr">
        <is>
          <t>Total Records</t>
        </is>
      </c>
    </row>
    <row r="10">
      <c r="A10" t="inlineStr">
        <is>
          <t>Code Inventory</t>
        </is>
      </c>
      <c r="B10">
        <f>COUNTIF(Features!$B$2:$B$78,A10)</f>
        <v/>
      </c>
      <c r="C10">
        <f>COUNTIF(Defects!$B$2:$B$14,A10)</f>
        <v/>
      </c>
      <c r="D10">
        <f>COUNTIF('Test Runs'!$B$2:$B$31,A10)</f>
        <v/>
      </c>
      <c r="E10">
        <f>SUM(B10:D10)</f>
        <v/>
      </c>
    </row>
    <row r="11">
      <c r="A11" t="inlineStr">
        <is>
          <t>Static UX Audit</t>
        </is>
      </c>
      <c r="B11">
        <f>COUNTIF(Features!$B$2:$B$78,A11)</f>
        <v/>
      </c>
      <c r="C11">
        <f>COUNTIF(Defects!$B$2:$B$14,A11)</f>
        <v/>
      </c>
      <c r="D11">
        <f>COUNTIF('Test Runs'!$B$2:$B$31,A11)</f>
        <v/>
      </c>
      <c r="E11">
        <f>SUM(B11:D11)</f>
        <v/>
      </c>
    </row>
    <row r="12">
      <c r="A12" t="inlineStr">
        <is>
          <t>Runtime Discovery</t>
        </is>
      </c>
      <c r="B12">
        <f>COUNTIF(Features!$B$2:$B$78,A12)</f>
        <v/>
      </c>
      <c r="C12">
        <f>COUNTIF(Defects!$B$2:$B$14,A12)</f>
        <v/>
      </c>
      <c r="D12">
        <f>COUNTIF('Test Runs'!$B$2:$B$31,A12)</f>
        <v/>
      </c>
      <c r="E12">
        <f>SUM(B12:D12)</f>
        <v/>
      </c>
    </row>
    <row r="13">
      <c r="A13" t="inlineStr">
        <is>
          <t>Baseline Verification</t>
        </is>
      </c>
      <c r="B13">
        <f>COUNTIF(Features!$B$2:$B$78,A13)</f>
        <v/>
      </c>
      <c r="C13">
        <f>COUNTIF(Defects!$B$2:$B$14,A13)</f>
        <v/>
      </c>
      <c r="D13">
        <f>COUNTIF('Test Runs'!$B$2:$B$31,A13)</f>
        <v/>
      </c>
      <c r="E13">
        <f>SUM(B13:D13)</f>
        <v/>
      </c>
    </row>
    <row r="14">
      <c r="A14" t="inlineStr">
        <is>
          <t>Post-Fix Verification</t>
        </is>
      </c>
      <c r="B14">
        <f>COUNTIF(Features!$B$2:$B$78,A14)</f>
        <v/>
      </c>
      <c r="C14">
        <f>COUNTIF(Defects!$B$2:$B$14,A14)</f>
        <v/>
      </c>
      <c r="D14">
        <f>COUNTIF('Test Runs'!$B$2:$B$31,A14)</f>
        <v/>
      </c>
      <c r="E14">
        <f>SUM(B14:D14)</f>
        <v/>
      </c>
    </row>
    <row r="15">
      <c r="A15" t="inlineStr">
        <is>
          <t>Baseline status</t>
        </is>
      </c>
      <c r="C15" t="inlineStr">
        <is>
          <t>Fix status</t>
        </is>
      </c>
      <c r="E15" t="inlineStr">
        <is>
          <t>Post-fix status</t>
        </is>
      </c>
    </row>
    <row r="16">
      <c r="A16" s="8" t="inlineStr">
        <is>
          <t>Status</t>
        </is>
      </c>
      <c r="B16" s="8" t="inlineStr">
        <is>
          <t>Count</t>
        </is>
      </c>
      <c r="C16" s="8" t="inlineStr">
        <is>
          <t>Status</t>
        </is>
      </c>
      <c r="D16" s="8" t="inlineStr">
        <is>
          <t>Count</t>
        </is>
      </c>
      <c r="E16" s="8" t="inlineStr">
        <is>
          <t>Status</t>
        </is>
      </c>
      <c r="F16" s="8" t="inlineStr">
        <is>
          <t>Count</t>
        </is>
      </c>
    </row>
    <row r="17">
      <c r="A17" t="inlineStr">
        <is>
          <t>Not Run</t>
        </is>
      </c>
      <c r="B17">
        <f>COUNTIF(Features!$M$2:$M$78,A17)</f>
        <v/>
      </c>
      <c r="C17" t="inlineStr">
        <is>
          <t>Not Started</t>
        </is>
      </c>
      <c r="D17">
        <f>COUNTIF(Features!$P$2:$P$78,C17)</f>
        <v/>
      </c>
      <c r="E17" t="inlineStr">
        <is>
          <t>Not Run</t>
        </is>
      </c>
      <c r="F17">
        <f>COUNTIF(Features!$Q$2:$Q$78,E17)</f>
        <v/>
      </c>
    </row>
    <row r="18">
      <c r="A18" t="inlineStr">
        <is>
          <t>Pass</t>
        </is>
      </c>
      <c r="B18">
        <f>COUNTIF(Features!$M$2:$M$78,A18)</f>
        <v/>
      </c>
      <c r="C18" t="inlineStr">
        <is>
          <t>In Progress</t>
        </is>
      </c>
      <c r="D18">
        <f>COUNTIF(Features!$P$2:$P$78,C18)</f>
        <v/>
      </c>
      <c r="E18" t="inlineStr">
        <is>
          <t>Pass</t>
        </is>
      </c>
      <c r="F18">
        <f>COUNTIF(Features!$Q$2:$Q$78,E18)</f>
        <v/>
      </c>
    </row>
    <row r="19">
      <c r="A19" t="inlineStr">
        <is>
          <t>Pass with caveat</t>
        </is>
      </c>
      <c r="B19">
        <f>COUNTIF(Features!$M$2:$M$78,A19)</f>
        <v/>
      </c>
      <c r="C19" t="inlineStr">
        <is>
          <t>Fixed</t>
        </is>
      </c>
      <c r="D19">
        <f>COUNTIF(Features!$P$2:$P$78,C19)</f>
        <v/>
      </c>
      <c r="E19" t="inlineStr">
        <is>
          <t>Pass with caveat</t>
        </is>
      </c>
      <c r="F19">
        <f>COUNTIF(Features!$Q$2:$Q$78,E19)</f>
        <v/>
      </c>
    </row>
    <row r="20">
      <c r="A20" t="inlineStr">
        <is>
          <t>Fail</t>
        </is>
      </c>
      <c r="B20">
        <f>COUNTIF(Features!$M$2:$M$78,A20)</f>
        <v/>
      </c>
      <c r="C20" t="inlineStr">
        <is>
          <t>Deferred</t>
        </is>
      </c>
      <c r="D20">
        <f>COUNTIF(Features!$P$2:$P$78,C20)</f>
        <v/>
      </c>
      <c r="E20" t="inlineStr">
        <is>
          <t>Fail</t>
        </is>
      </c>
      <c r="F20">
        <f>COUNTIF(Features!$Q$2:$Q$78,E20)</f>
        <v/>
      </c>
    </row>
    <row r="21">
      <c r="A21" t="inlineStr">
        <is>
          <t>Blocked</t>
        </is>
      </c>
      <c r="B21">
        <f>COUNTIF(Features!$M$2:$M$78,A21)</f>
        <v/>
      </c>
      <c r="C21" t="inlineStr">
        <is>
          <t>Won't Fix</t>
        </is>
      </c>
      <c r="D21">
        <f>COUNTIF(Features!$P$2:$P$78,C21)</f>
        <v/>
      </c>
      <c r="E21" t="inlineStr">
        <is>
          <t>Blocked</t>
        </is>
      </c>
      <c r="F21">
        <f>COUNTIF(Features!$Q$2:$Q$78,E21)</f>
        <v/>
      </c>
    </row>
    <row r="22"/>
    <row r="23"/>
    <row r="24">
      <c r="A24" t="inlineStr">
        <is>
          <t>Defect status</t>
        </is>
      </c>
      <c r="C24" t="inlineStr">
        <is>
          <t>Defects by severity</t>
        </is>
      </c>
      <c r="E24" t="inlineStr">
        <is>
          <t>Runtime results</t>
        </is>
      </c>
    </row>
    <row r="25">
      <c r="A25" s="7" t="inlineStr">
        <is>
          <t>Status</t>
        </is>
      </c>
      <c r="B25" s="7" t="inlineStr">
        <is>
          <t>Count</t>
        </is>
      </c>
      <c r="C25" s="7" t="inlineStr">
        <is>
          <t>Severity</t>
        </is>
      </c>
      <c r="D25" s="7" t="inlineStr">
        <is>
          <t>Count</t>
        </is>
      </c>
      <c r="E25" s="8" t="inlineStr">
        <is>
          <t>Status</t>
        </is>
      </c>
      <c r="F25" s="8" t="inlineStr">
        <is>
          <t>Count</t>
        </is>
      </c>
    </row>
    <row r="26">
      <c r="A26" t="inlineStr">
        <is>
          <t>Documented</t>
        </is>
      </c>
      <c r="B26">
        <f>COUNTIF(Defects!$C$2:$C$14,A26)</f>
        <v/>
      </c>
      <c r="C26" t="inlineStr">
        <is>
          <t>Critical</t>
        </is>
      </c>
      <c r="D26">
        <f>COUNTIF(Defects!$D$2:$D$14,C26)</f>
        <v/>
      </c>
      <c r="E26" t="inlineStr">
        <is>
          <t>Passed</t>
        </is>
      </c>
      <c r="F26">
        <f>COUNTIF('Test Runs'!$H$2:$H$31,E26)</f>
        <v/>
      </c>
    </row>
    <row r="27">
      <c r="A27" t="inlineStr">
        <is>
          <t>Candidate</t>
        </is>
      </c>
      <c r="B27">
        <f>COUNTIF(Defects!$C$2:$C$14,A27)</f>
        <v/>
      </c>
      <c r="C27" t="inlineStr">
        <is>
          <t>High</t>
        </is>
      </c>
      <c r="D27">
        <f>COUNTIF(Defects!$D$2:$D$14,C27)</f>
        <v/>
      </c>
      <c r="E27" t="inlineStr">
        <is>
          <t>Passed with caveat</t>
        </is>
      </c>
      <c r="F27">
        <f>COUNTIF('Test Runs'!$H$2:$H$31,E27)</f>
        <v/>
      </c>
    </row>
    <row r="28">
      <c r="A28" t="inlineStr">
        <is>
          <t>Planned</t>
        </is>
      </c>
      <c r="B28">
        <f>COUNTIF(Defects!$C$2:$C$14,A28)</f>
        <v/>
      </c>
      <c r="C28" t="inlineStr">
        <is>
          <t>Medium</t>
        </is>
      </c>
      <c r="D28">
        <f>COUNTIF(Defects!$D$2:$D$14,C28)</f>
        <v/>
      </c>
      <c r="E28" t="inlineStr">
        <is>
          <t>Candidate</t>
        </is>
      </c>
      <c r="F28">
        <f>COUNTIF('Test Runs'!$H$2:$H$31,E28)</f>
        <v/>
      </c>
    </row>
    <row r="29">
      <c r="A29" t="inlineStr">
        <is>
          <t>In Progress</t>
        </is>
      </c>
      <c r="B29">
        <f>COUNTIF(Defects!$C$2:$C$14,A29)</f>
        <v/>
      </c>
      <c r="C29" t="inlineStr">
        <is>
          <t>Low</t>
        </is>
      </c>
      <c r="D29">
        <f>COUNTIF(Defects!$D$2:$D$14,C29)</f>
        <v/>
      </c>
      <c r="E29" t="inlineStr">
        <is>
          <t>Failed</t>
        </is>
      </c>
      <c r="F29">
        <f>COUNTIF('Test Runs'!$H$2:$H$31,E29)</f>
        <v/>
      </c>
    </row>
    <row r="30">
      <c r="A30" t="inlineStr">
        <is>
          <t>Verified</t>
        </is>
      </c>
      <c r="B30">
        <f>COUNTIF(Defects!$C$2:$C$14,A30)</f>
        <v/>
      </c>
      <c r="E30" t="inlineStr">
        <is>
          <t>Not Run</t>
        </is>
      </c>
      <c r="F30">
        <f>COUNTIF('Test Runs'!$H$2:$H$31,E30)</f>
        <v/>
      </c>
    </row>
    <row r="31">
      <c r="A31" t="inlineStr">
        <is>
          <t>Deferred</t>
        </is>
      </c>
      <c r="B31">
        <f>COUNTIF(Defects!$C$2:$C$14,A31)</f>
        <v/>
      </c>
    </row>
    <row r="32">
      <c r="A32" t="inlineStr">
        <is>
          <t>Closed</t>
        </is>
      </c>
      <c r="B32">
        <f>COUNTIF(Defects!$C$2:$C$14,A32)</f>
        <v/>
      </c>
    </row>
    <row r="33"/>
    <row r="34">
      <c r="A34" s="9" t="inlineStr">
        <is>
          <t>Instructions and operating rules</t>
        </is>
      </c>
    </row>
    <row r="35" ht="38" customHeight="1">
      <c r="A35" s="20" t="inlineStr">
        <is>
          <t>1. All 77 stories retain canonical baseline status/evidence and now have a final Post-Fix Status of Pass or Blocked; Post-Fix Fail and Not Run are zero.</t>
        </is>
      </c>
      <c r="B35" s="19" t="n"/>
      <c r="C35" s="19" t="n"/>
      <c r="D35" s="19" t="n"/>
      <c r="E35" s="19" t="n"/>
      <c r="F35" s="19" t="n"/>
    </row>
    <row r="36" ht="38" customHeight="1">
      <c r="A36" s="21" t="inlineStr">
        <is>
          <t>2. Post-Fix Evidence preserves the raw lane observation and artifact paths. PF-PROJ-011 alone is reconciled from raw Fail to Pass after an intentional PERF-IMG-001 contract update.</t>
        </is>
      </c>
      <c r="B36" s="19" t="n"/>
      <c r="C36" s="19" t="n"/>
      <c r="D36" s="19" t="n"/>
      <c r="E36" s="19" t="n"/>
      <c r="F36" s="19" t="n"/>
    </row>
    <row r="37" ht="38" customHeight="1">
      <c r="A37" s="20" t="inlineStr">
        <is>
          <t>3. Nine authorized product, UX, accessibility, QA, and performance repairs are Fixed/Verified; PERF-IMG-001 was promoted from Candidate before repair verification.</t>
        </is>
      </c>
      <c r="B37" s="19" t="n"/>
      <c r="C37" s="19" t="n"/>
      <c r="D37" s="19" t="n"/>
      <c r="E37" s="19" t="n"/>
      <c r="F37" s="19" t="n"/>
    </row>
    <row r="38" ht="38" customHeight="1">
      <c r="A38" s="21" t="inlineStr">
        <is>
          <t>4. PF-SHELL-004, PF-NAV-008, and PF-PROJ-010 remain honestly Blocked because their preference, unsafe-input, or zero-result preconditions are unavailable in the shipped runtime.</t>
        </is>
      </c>
      <c r="B38" s="19" t="n"/>
      <c r="C38" s="19" t="n"/>
      <c r="D38" s="19" t="n"/>
      <c r="E38" s="19" t="n"/>
      <c r="F38" s="19" t="n"/>
    </row>
    <row r="39" ht="38" customHeight="1">
      <c r="A39" s="20" t="inlineStr">
        <is>
          <t>5. PERF-NAV-001, DESIGN-AI-001, CAND-RUNTIME-METADATA-001, and CAND-RUNTIME-ANALYTICS-001 are Closed/Rejected with retained rationale and evidence.</t>
        </is>
      </c>
      <c r="B39" s="19" t="n"/>
      <c r="C39" s="19" t="n"/>
      <c r="D39" s="19" t="n"/>
      <c r="E39" s="19" t="n"/>
      <c r="F39" s="19" t="n"/>
    </row>
    <row r="40" ht="38" customHeight="1">
      <c r="A40" s="21" t="inlineStr">
        <is>
          <t>6. Stable Feature, Defect, and Test Run IDs are unique; defect links are bidirectionally reconciled; formulas and evidence paths are validated before handoff.</t>
        </is>
      </c>
      <c r="B40" s="19" t="n"/>
      <c r="C40" s="19" t="n"/>
      <c r="D40" s="19" t="n"/>
      <c r="E40" s="19" t="n"/>
      <c r="F40" s="19" t="n"/>
    </row>
    <row r="41" ht="38" customHeight="1">
      <c r="A41" s="21" t="inlineStr">
        <is>
          <t>7. PF-PROJ-015, the catalog story for a client project that left the portfolio, was removed on 2026-10-13; the remaining Feature IDs are unchanged.</t>
        </is>
      </c>
      <c r="B41" s="19" t="n"/>
      <c r="C41" s="19" t="n"/>
      <c r="D41" s="19" t="n"/>
      <c r="E41" s="19" t="n"/>
      <c r="F41" s="19" t="n"/>
    </row>
  </sheetData>
  <sheetProtection selectLockedCells="0" selectUnlockedCells="0" sheet="1" objects="0" insertRows="1" insertHyperlinks="1" autoFilter="1" scenarios="0" formatColumns="1" deleteColumns="1" insertColumns="1" pivotTables="1" deleteRows="1" formatCells="1" formatRows="1" sort="1"/>
  <mergeCells count="17">
    <mergeCell ref="A38:F38"/>
    <mergeCell ref="A2:F2"/>
    <mergeCell ref="A41:F41"/>
    <mergeCell ref="E6:F6"/>
    <mergeCell ref="C6:D6"/>
    <mergeCell ref="A36:F36"/>
    <mergeCell ref="A1:F1"/>
    <mergeCell ref="A37:F37"/>
    <mergeCell ref="C5:D5"/>
    <mergeCell ref="A5:B5"/>
    <mergeCell ref="E5:F5"/>
    <mergeCell ref="A34:F34"/>
    <mergeCell ref="A35:F35"/>
    <mergeCell ref="A4:F4"/>
    <mergeCell ref="A40:F40"/>
    <mergeCell ref="A39:F39"/>
    <mergeCell ref="A6:B6"/>
  </mergeCells>
  <pageMargins left="0.75" right="0.75" top="1" bottom="1" header="0.5" footer="0.5"/>
  <pageSetup orientation="landscape" paperSize="9" fitToHeight="1" fitToWidth="1"/>
  <headerFooter>
    <oddHeader/>
    <oddFooter>&amp;CPage &amp;P of &amp;N&amp;RPortfolio Feature Ledger</oddFooter>
    <evenHeader/>
    <evenFooter/>
    <firstHeader/>
    <firstFooter/>
  </headerFooter>
</worksheet>
</file>

<file path=xl/worksheets/sheet2.xml><?xml version="1.0" encoding="utf-8"?>
<worksheet xmlns="http://schemas.openxmlformats.org/spreadsheetml/2006/main">
  <sheetPr>
    <tabColor rgb="001F4E78"/>
    <outlinePr summaryBelow="1" summaryRight="1"/>
    <pageSetUpPr fitToPage="1"/>
  </sheetPr>
  <dimension ref="A1:V78"/>
  <sheetViews>
    <sheetView showGridLines="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26" customWidth="1" min="3" max="3"/>
    <col width="22" customWidth="1" min="4" max="4"/>
    <col width="48" customWidth="1" min="5" max="5"/>
    <col width="30" customWidth="1" min="6" max="6"/>
    <col width="28" customWidth="1" min="7" max="7"/>
    <col width="48" customWidth="1" min="8" max="8"/>
    <col width="42" customWidth="1" min="9" max="9"/>
    <col width="46" customWidth="1" min="10" max="10"/>
    <col width="46" customWidth="1" min="11" max="11"/>
    <col width="20" customWidth="1" min="12" max="12"/>
    <col width="18" customWidth="1" min="13" max="13"/>
    <col width="32" customWidth="1" min="14" max="14"/>
    <col width="28" customWidth="1" min="15" max="15"/>
    <col width="18" customWidth="1" min="16" max="16"/>
    <col width="18" customWidth="1" min="17" max="17"/>
    <col width="32" customWidth="1" min="18" max="18"/>
    <col width="42" customWidth="1" min="19" max="19"/>
    <col width="16" customWidth="1" min="20" max="20"/>
    <col width="19" customWidth="1" min="21" max="21"/>
    <col width="19" customWidth="1" min="22" max="22"/>
  </cols>
  <sheetData>
    <row r="1" ht="34" customHeight="1">
      <c r="A1" s="12" t="inlineStr">
        <is>
          <t>Feature ID</t>
        </is>
      </c>
      <c r="B1" s="12" t="inlineStr">
        <is>
          <t>Phase</t>
        </is>
      </c>
      <c r="C1" s="12" t="inlineStr">
        <is>
          <t>Area / Route</t>
        </is>
      </c>
      <c r="D1" s="12" t="inlineStr">
        <is>
          <t>Actor</t>
        </is>
      </c>
      <c r="E1" s="12" t="inlineStr">
        <is>
          <t>User Story</t>
        </is>
      </c>
      <c r="F1" s="12" t="inlineStr">
        <is>
          <t>Preconditions</t>
        </is>
      </c>
      <c r="G1" s="12" t="inlineStr">
        <is>
          <t>Action</t>
        </is>
      </c>
      <c r="H1" s="12" t="inlineStr">
        <is>
          <t>Expected Behavior</t>
        </is>
      </c>
      <c r="I1" s="12" t="inlineStr">
        <is>
          <t>Responsive / Accessibility Expectation</t>
        </is>
      </c>
      <c r="J1" s="12" t="inlineStr">
        <is>
          <t>Source Evidence</t>
        </is>
      </c>
      <c r="K1" s="12" t="inlineStr">
        <is>
          <t>Existing Automated Test Evidence</t>
        </is>
      </c>
      <c r="L1" s="12" t="inlineStr">
        <is>
          <t>Activation State</t>
        </is>
      </c>
      <c r="M1" s="12" t="inlineStr">
        <is>
          <t>Baseline Status</t>
        </is>
      </c>
      <c r="N1" s="12" t="inlineStr">
        <is>
          <t>Baseline Evidence</t>
        </is>
      </c>
      <c r="O1" s="12" t="inlineStr">
        <is>
          <t>Defect IDs</t>
        </is>
      </c>
      <c r="P1" s="12" t="inlineStr">
        <is>
          <t>Fix Status</t>
        </is>
      </c>
      <c r="Q1" s="12" t="inlineStr">
        <is>
          <t>Post-Fix Status</t>
        </is>
      </c>
      <c r="R1" s="12" t="inlineStr">
        <is>
          <t>Post-Fix Evidence</t>
        </is>
      </c>
      <c r="S1" s="12" t="inlineStr">
        <is>
          <t>Notes</t>
        </is>
      </c>
      <c r="T1" s="12" t="inlineStr">
        <is>
          <t>Owner</t>
        </is>
      </c>
      <c r="U1" s="12" t="inlineStr">
        <is>
          <t>Created At</t>
        </is>
      </c>
      <c r="V1" s="12" t="inlineStr">
        <is>
          <t>Updated At</t>
        </is>
      </c>
    </row>
    <row r="2">
      <c r="A2" s="13" t="inlineStr">
        <is>
          <t>PF-SHELL-001</t>
        </is>
      </c>
      <c r="B2" s="13" t="inlineStr">
        <is>
          <t>Code Inventory</t>
        </is>
      </c>
      <c r="C2" s="13" t="inlineStr">
        <is>
          <t>Global shell / all routes</t>
        </is>
      </c>
      <c r="D2" s="13" t="inlineStr">
        <is>
          <t>Visitor</t>
        </is>
      </c>
      <c r="E2" s="13" t="inlineStr">
        <is>
          <t>As a visitor, I want an English, dark-themed portfolio shell.</t>
        </is>
      </c>
      <c r="F2" s="13" t="inlineStr">
        <is>
          <t>Any route renders.</t>
        </is>
      </c>
      <c r="G2" s="13" t="inlineStr">
        <is>
          <t>Load a page.</t>
        </is>
      </c>
      <c r="H2" s="13" t="inlineStr">
        <is>
          <t>Root HTML declares English, smooth scrolling, responsive fonts, and an ambient background behind route content.</t>
        </is>
      </c>
      <c r="I2" s="13" t="inlineStr">
        <is>
          <t>Device-width viewport; viewport-fit=cover; semantic lang=en; background is aria-hidden.</t>
        </is>
      </c>
      <c r="J2" s="13" t="inlineStr">
        <is>
          <t>src/app/layout.tsx:6-20; src/lib/site-metadata.ts:52-56; src/components/AnimatedBackground.tsx:1-13</t>
        </is>
      </c>
      <c r="K2" s="13" t="inlineStr">
        <is>
          <t>src/components/__tests__/AnimatedBackground.test.tsx:5-24; src/app/(site)/layout.test.tsx:98-164</t>
        </is>
      </c>
      <c r="L2" s="13" t="inlineStr">
        <is>
          <t>Active</t>
        </is>
      </c>
      <c r="M2" s="13" t="inlineStr">
        <is>
          <t>Pass</t>
        </is>
      </c>
      <c r="N2" s="13" t="inlineStr">
        <is>
          <t>Pass — lang=en; dark color-scheme; viewport-fit=cover; fixed ambient environment is aria-hidden; scoped routes render at all required widths. Evidence: /tmp/portfolio-feature-audit/baseline/core/shell-home-head-and-link-safety.json; /tmp/portfolio-feature-audit/baseline/core/home-390-full.png; /tmp/portfolio-feature-audit/baseline/core/about-768-full.png; /tmp/portfolio-feature-audit/baseline/core/not-found-1440-full.png</t>
        </is>
      </c>
      <c r="O2" s="13" t="inlineStr">
        <is>
          <t>DESIGN-AI-001</t>
        </is>
      </c>
      <c r="P2" s="13" t="inlineStr">
        <is>
          <t>Won't Fix</t>
        </is>
      </c>
      <c r="Q2" s="13" t="inlineStr">
        <is>
          <t>Pass</t>
        </is>
      </c>
      <c r="R2" s="13" t="inlineStr">
        <is>
          <t>Pass — At all three required widths, HTML was lang=en with dark color scheme, 320px minimum, smooth scrolling in normal mode, and an ambient background behind visible content. Evidence: /tmp/portfolio-feature-audit/postfix/core/390/home-diagnostics.json; /tmp/portfolio-feature-audit/postfix/core/390/home-full.png; /tmp/portfolio-feature-audit/postfix/core/1440/home-full.png</t>
        </is>
      </c>
      <c r="S2" s="13" t="inlineStr"/>
      <c r="T2" s="13" t="inlineStr">
        <is>
          <t>Unassigned</t>
        </is>
      </c>
      <c r="U2" s="18" t="n">
        <v>46257</v>
      </c>
      <c r="V2" s="18" t="n">
        <v>46257.6050925926</v>
      </c>
    </row>
    <row r="3">
      <c r="A3" s="13" t="inlineStr">
        <is>
          <t>PF-SHELL-002</t>
        </is>
      </c>
      <c r="B3" s="13" t="inlineStr">
        <is>
          <t>Code Inventory</t>
        </is>
      </c>
      <c r="C3" s="13" t="inlineStr">
        <is>
          <t>Global styles</t>
        </is>
      </c>
      <c r="D3" s="13" t="inlineStr">
        <is>
          <t>Keyboard/low-vision visitor</t>
        </is>
      </c>
      <c r="E3" s="13" t="inlineStr">
        <is>
          <t>As a keyboard user, I want visible focus and no horizontal page overflow.</t>
        </is>
      </c>
      <c r="F3" s="13" t="inlineStr">
        <is>
          <t>Focusable control exists.</t>
        </is>
      </c>
      <c r="G3" s="13" t="inlineStr">
        <is>
          <t>Tab through controls or render at narrow width.</t>
        </is>
      </c>
      <c r="H3" s="13" t="inlineStr">
        <is>
          <t>.focus-ring shows a 2px cyan outline with offset; document clips horizontal overflow and has a 320px minimum.</t>
        </is>
      </c>
      <c r="I3" s="13" t="inlineStr">
        <is>
          <t>Focus-visible only; avoids accidental horizontal scrolling.</t>
        </is>
      </c>
      <c r="J3" s="13" t="inlineStr">
        <is>
          <t>src/app/globals.css:47-59,77-85</t>
        </is>
      </c>
      <c r="K3" s="13" t="inlineStr">
        <is>
          <t>src/app/globals.test.ts:9-56; e2e/helpers.ts:3-10</t>
        </is>
      </c>
      <c r="L3" s="13" t="inlineStr">
        <is>
          <t>Active</t>
        </is>
      </c>
      <c r="M3" s="13" t="inlineStr">
        <is>
          <t>Pass</t>
        </is>
      </c>
      <c r="N3" s="13" t="inlineStr">
        <is>
          <t>Pass — Tab walk covered every Home control at desktop/mobile; settled focus ring is 2px #a9edfa with 3px offset; document scrollWidth equals clientWidth on Home, About, and 404 at 390/768/1440. Evidence: /tmp/portfolio-feature-audit/baseline/core/home-1440-focus-walk.jsonl; /tmp/portfolio-feature-audit/baseline/core/home-full-list-focus-after-transition.json; /tmp/portfolio-feature-audit/baseline/core/home-390-dom.json; /tmp/portfolio-feature-audit/baseline/core/about-390-dom.json; /tmp/portfolio-feature-audit/baseline/core/not-found-390-dom.json</t>
        </is>
      </c>
      <c r="O3" s="13" t="n"/>
      <c r="P3" s="13" t="inlineStr">
        <is>
          <t>Not Started</t>
        </is>
      </c>
      <c r="Q3" s="13" t="inlineStr">
        <is>
          <t>Pass</t>
        </is>
      </c>
      <c r="R3" s="13" t="inlineStr">
        <is>
          <t>Pass — First Tab revealed a solid 2px rgb(169,237,250) outline with 3px offset; document width equaled viewport at 390, exact 768, and 1440. Evidence: /tmp/portfolio-feature-audit/postfix/core/390/skip-focus.json; /tmp/portfolio-feature-audit/postfix/core/390/home-diagnostics.json; /tmp/portfolio-feature-audit/postfix/core/768/home-diagnostics.json; /tmp/portfolio-feature-audit/postfix/core/1440/home-diagnostics.json</t>
        </is>
      </c>
      <c r="S3" s="13" t="inlineStr"/>
      <c r="T3" s="13" t="inlineStr">
        <is>
          <t>Unassigned</t>
        </is>
      </c>
      <c r="U3" s="18" t="n">
        <v>46257</v>
      </c>
      <c r="V3" s="18" t="n">
        <v>46257.6050925926</v>
      </c>
    </row>
    <row r="4">
      <c r="A4" s="13" t="inlineStr">
        <is>
          <t>PF-SHELL-003</t>
        </is>
      </c>
      <c r="B4" s="13" t="inlineStr">
        <is>
          <t>Code Inventory</t>
        </is>
      </c>
      <c r="C4" s="13" t="inlineStr">
        <is>
          <t>Global motion</t>
        </is>
      </c>
      <c r="D4" s="13" t="inlineStr">
        <is>
          <t>Motion-sensitive visitor</t>
        </is>
      </c>
      <c r="E4" s="13" t="inlineStr">
        <is>
          <t>As a motion-sensitive visitor, I want animation removed.</t>
        </is>
      </c>
      <c r="F4" s="13" t="inlineStr">
        <is>
          <t>OS/browser requests reduced motion.</t>
        </is>
      </c>
      <c r="G4" s="13" t="inlineStr">
        <is>
          <t>Load or interact.</t>
        </is>
      </c>
      <c r="H4" s="13" t="inlineStr">
        <is>
          <t>Smooth scroll, entrance animations, orbs, hover/active transforms, and transitions are disabled while content stays visible.</t>
        </is>
      </c>
      <c r="I4" s="13" t="inlineStr">
        <is>
          <t>Honors prefers-reduced-motion: reduce.</t>
        </is>
      </c>
      <c r="J4" s="13" t="inlineStr">
        <is>
          <t>src/app/globals.css:310-357</t>
        </is>
      </c>
      <c r="K4" s="13" t="inlineStr">
        <is>
          <t>src/app/globals.test.ts:19-34</t>
        </is>
      </c>
      <c r="L4" s="13" t="inlineStr">
        <is>
          <t>Active</t>
        </is>
      </c>
      <c r="M4" s="13" t="inlineStr">
        <is>
          <t>Pass</t>
        </is>
      </c>
      <c r="N4" s="13" t="inlineStr">
        <is>
          <t>Pass — prefers-reduced-motion matched; html scroll behavior became auto; sampled orbs, reveal elements, links, and transitions reported animation none/0s and content opacity 1. Evidence: /tmp/portfolio-feature-audit/baseline/core/about-1440-reduced-motion.json; /tmp/portfolio-feature-audit/baseline/core/about-1440-reduced-motion.png</t>
        </is>
      </c>
      <c r="O4" s="13" t="n"/>
      <c r="P4" s="13" t="inlineStr">
        <is>
          <t>Not Started</t>
        </is>
      </c>
      <c r="Q4" s="13" t="inlineStr">
        <is>
          <t>Pass</t>
        </is>
      </c>
      <c r="R4" s="13" t="inlineStr">
        <is>
          <t>Pass — With reduced motion emulated, scroll became auto, reveal/orb animation became none/0s, transform became none, transition duration became 0s, and h1 content remained visible. Evidence: /tmp/portfolio-feature-audit/postfix/core/390/reduced-motion.json</t>
        </is>
      </c>
      <c r="S4" s="13" t="inlineStr"/>
      <c r="T4" s="13" t="inlineStr">
        <is>
          <t>Unassigned</t>
        </is>
      </c>
      <c r="U4" s="18" t="n">
        <v>46257</v>
      </c>
      <c r="V4" s="18" t="n">
        <v>46257.6050925926</v>
      </c>
    </row>
    <row r="5">
      <c r="A5" s="13" t="inlineStr">
        <is>
          <t>PF-SHELL-004</t>
        </is>
      </c>
      <c r="B5" s="13" t="inlineStr">
        <is>
          <t>Code Inventory</t>
        </is>
      </c>
      <c r="C5" s="13" t="inlineStr">
        <is>
          <t>Global transparency</t>
        </is>
      </c>
      <c r="D5" s="13" t="inlineStr">
        <is>
          <t>Transparency-sensitive visitor</t>
        </is>
      </c>
      <c r="E5" s="13" t="inlineStr">
        <is>
          <t>As a visitor requesting reduced transparency, I want opaque surfaces.</t>
        </is>
      </c>
      <c r="F5" s="13" t="inlineStr">
        <is>
          <t>OS/browser requests reduced transparency.</t>
        </is>
      </c>
      <c r="G5" s="13" t="inlineStr">
        <is>
          <t>Load a page.</t>
        </is>
      </c>
      <c r="H5" s="13" t="inlineStr">
        <is>
          <t>Glass/window/glow surfaces become opaque, backdrop blur is removed, and noise overlay is hidden.</t>
        </is>
      </c>
      <c r="I5" s="13" t="inlineStr">
        <is>
          <t>Honors prefers-reduced-transparency: reduce; fallback also exists for browsers without backdrop-filter.</t>
        </is>
      </c>
      <c r="J5" s="13" t="inlineStr">
        <is>
          <t>src/app/globals.css:359-380</t>
        </is>
      </c>
      <c r="K5" s="13" t="inlineStr">
        <is>
          <t>src/app/globals.test.ts:35-47</t>
        </is>
      </c>
      <c r="L5" s="13" t="inlineStr">
        <is>
          <t>Active</t>
        </is>
      </c>
      <c r="M5" s="13" t="inlineStr">
        <is>
          <t>Blocked</t>
        </is>
      </c>
      <c r="N5" s="13" t="inlineStr">
        <is>
          <t>Blocked — The required agent-browser Chromium session only exposes color-scheme and reduced-motion media emulation; it cannot emulate prefers-reduced-transparency, so the runtime preference branch could not be activated without out-of-scope instrumentation. Evidence: /tmp/portfolio-feature-audit/baseline/core/reduced-transparency-emulation-limit.txt</t>
        </is>
      </c>
      <c r="O5" s="13" t="n"/>
      <c r="P5" s="13" t="inlineStr">
        <is>
          <t>Deferred</t>
        </is>
      </c>
      <c r="Q5" s="13" t="inlineStr">
        <is>
          <t>Blocked</t>
        </is>
      </c>
      <c r="R5" s="13" t="inlineStr">
        <is>
          <t>Blocked — The configured agent-browser Chromium session cannot emulate prefers-reduced-transparency. Static CSS/unit coverage passed, but the runtime media state could not be activated honestly. Evidence: /tmp/portfolio-feature-audit/postfix/core/static-unit-verification.txt; /tmp/portfolio-feature-audit/postfix/core/feature-contracts.json</t>
        </is>
      </c>
      <c r="S5" s="13" t="inlineStr"/>
      <c r="T5" s="13" t="inlineStr">
        <is>
          <t>Unassigned</t>
        </is>
      </c>
      <c r="U5" s="18" t="n">
        <v>46257</v>
      </c>
      <c r="V5" s="18" t="n">
        <v>46257.6050925926</v>
      </c>
    </row>
    <row r="6">
      <c r="A6" s="13" t="inlineStr">
        <is>
          <t>PF-SHELL-005</t>
        </is>
      </c>
      <c r="B6" s="13" t="inlineStr">
        <is>
          <t>Code Inventory</t>
        </is>
      </c>
      <c r="C6" s="13" t="inlineStr">
        <is>
          <t>Global responsive clearance</t>
        </is>
      </c>
      <c r="D6" s="13" t="inlineStr">
        <is>
          <t>Mobile/tablet visitor</t>
        </is>
      </c>
      <c r="E6" s="13" t="inlineStr">
        <is>
          <t>As a visitor, I want content and anchor targets clear of fixed navigation.</t>
        </is>
      </c>
      <c r="F6" s="13" t="inlineStr">
        <is>
          <t>Viewport is below or above 48rem.</t>
        </is>
      </c>
      <c r="G6" s="13" t="inlineStr">
        <is>
          <t>Navigate/scroll to content.</t>
        </is>
      </c>
      <c r="H6" s="13" t="inlineStr">
        <is>
          <t>Mobile bottom clearance includes safe area; at 48rem+ top scroll padding becomes 9rem and bottom padding resets to 2rem.</t>
        </is>
      </c>
      <c r="I6" s="13" t="inlineStr">
        <is>
          <t>Uses safe-area env vars; exact 768px handoff.</t>
        </is>
      </c>
      <c r="J6" s="13" t="inlineStr">
        <is>
          <t>src/app/globals.css:26,47-51,303-308; src/app/(site)/layout.tsx:21-28</t>
        </is>
      </c>
      <c r="K6" s="13" t="inlineStr">
        <is>
          <t>src/app/globals.test.ts:48-56; src/app/(site)/layout.test.tsx:166-174; e2e/navigation.spec.ts:8-22</t>
        </is>
      </c>
      <c r="L6" s="13" t="inlineStr">
        <is>
          <t>Active</t>
        </is>
      </c>
      <c r="M6" s="13" t="inlineStr">
        <is>
          <t>Pass</t>
        </is>
      </c>
      <c r="N6" s="13" t="inlineStr">
        <is>
          <t>Pass — At 390 the dock is fixed 92px high and main padding-bottom is 192px; at exact 768 only the 92px header is visible, scroll-padding-top is 144px, main padding-bottom is 48px, and no overflow occurs. Evidence: /tmp/portfolio-feature-audit/baseline/core/home-390-dom.json; /tmp/portfolio-feature-audit/baseline/core/home-768-dom.json; /tmp/portfolio-feature-audit/baseline/core/not-found-390-full.png; /tmp/portfolio-feature-audit/baseline/core/not-found-768-full.png</t>
        </is>
      </c>
      <c r="O6" s="13" t="inlineStr">
        <is>
          <t>RESP-CONTACT-001</t>
        </is>
      </c>
      <c r="P6" s="13" t="inlineStr">
        <is>
          <t>Fixed</t>
        </is>
      </c>
      <c r="Q6" s="13" t="inlineStr">
        <is>
          <t>Pass</t>
        </is>
      </c>
      <c r="R6" s="13" t="inlineStr">
        <is>
          <t>Pass — Mobile main padding-bottom was 192px below the 92px fixed dock. At exact 768, top/scroll padding was 144px, bottom main padding 48px, scroll bottom padding 32px, and headings cleared the dock. Evidence: /tmp/portfolio-feature-audit/postfix/core/390/home-diagnostics.json; /tmp/portfolio-feature-audit/postfix/core/768/home-diagnostics.json; /tmp/portfolio-feature-audit/postfix/core/768/home-full.png</t>
        </is>
      </c>
      <c r="S6" s="13" t="inlineStr"/>
      <c r="T6" s="13" t="inlineStr">
        <is>
          <t>Unassigned</t>
        </is>
      </c>
      <c r="U6" s="18" t="n">
        <v>46257</v>
      </c>
      <c r="V6" s="18" t="n">
        <v>46257.6050925926</v>
      </c>
    </row>
    <row r="7">
      <c r="A7" s="13" t="inlineStr">
        <is>
          <t>PF-NAV-001</t>
        </is>
      </c>
      <c r="B7" s="13" t="inlineStr">
        <is>
          <t>Code Inventory</t>
        </is>
      </c>
      <c r="C7" s="13" t="inlineStr">
        <is>
          <t>All main routes</t>
        </is>
      </c>
      <c r="D7" s="13" t="inlineStr">
        <is>
          <t>Keyboard visitor</t>
        </is>
      </c>
      <c r="E7" s="13" t="inlineStr">
        <is>
          <t>As a keyboard user, I want to bypass repeated navigation.</t>
        </is>
      </c>
      <c r="F7" s="13" t="inlineStr">
        <is>
          <t>Home/site/404 shell rendered.</t>
        </is>
      </c>
      <c r="G7" s="13" t="inlineStr">
        <is>
          <t>Focus and activate “Skip to content.”</t>
        </is>
      </c>
      <c r="H7" s="13" t="inlineStr">
        <is>
          <t>Focus-revealed link moves to focusable #main-content.</t>
        </is>
      </c>
      <c r="I7" s="13" t="inlineStr">
        <is>
          <t>Visually hidden until focus; safe-area-aware placement; main has tabIndex=-1.</t>
        </is>
      </c>
      <c r="J7" s="13" t="inlineStr">
        <is>
          <t>src/components/HomeShell.tsx:3-16; src/app/(site)/layout.tsx:13-28; src/app/not-found.tsx:35-49</t>
        </is>
      </c>
      <c r="K7" s="13" t="inlineStr">
        <is>
          <t>src/app/not-found.test.tsx:27-46; no direct activation E2E</t>
        </is>
      </c>
      <c r="L7" s="13" t="inlineStr">
        <is>
          <t>Active</t>
        </is>
      </c>
      <c r="M7" s="13" t="inlineStr">
        <is>
          <t>Pass</t>
        </is>
      </c>
      <c r="N7" s="13" t="inlineStr">
        <is>
          <t>Pass — On Home and 404 at 390, first Tab exposed a full-width 44px target with 2px cyan outline; Enter set #main-content and focused main with tabIndex -1. About exposes the same link in its accessibility tree. Evidence: /tmp/portfolio-feature-audit/baseline/core/home-390-skip-focused.json; /tmp/portfolio-feature-audit/baseline/core/home-390-skip-activated.json; /tmp/portfolio-feature-audit/baseline/core/not-found-390-skip-focused.json; /tmp/portfolio-feature-audit/baseline/core/not-found-390-skip-activated.json; /tmp/portfolio-feature-audit/baseline/core/about-1440-a11y.txt</t>
        </is>
      </c>
      <c r="O7" s="13" t="n"/>
      <c r="P7" s="13" t="inlineStr">
        <is>
          <t>Not Started</t>
        </is>
      </c>
      <c r="Q7" s="13" t="inlineStr">
        <is>
          <t>Pass</t>
        </is>
      </c>
      <c r="R7" s="13" t="inlineStr">
        <is>
          <t>Pass — First Tab visibly focused Skip to content; Enter changed the hash and focused MAIN#main-content. Evidence: /tmp/portfolio-feature-audit/postfix/core/390/skip-focus.json; /tmp/portfolio-feature-audit/postfix/core/390/skip-activated.json</t>
        </is>
      </c>
      <c r="S7" s="13" t="inlineStr"/>
      <c r="T7" s="13" t="inlineStr">
        <is>
          <t>Unassigned</t>
        </is>
      </c>
      <c r="U7" s="18" t="n">
        <v>46257</v>
      </c>
      <c r="V7" s="18" t="n">
        <v>46257.6050925926</v>
      </c>
    </row>
    <row r="8">
      <c r="A8" s="13" t="inlineStr">
        <is>
          <t>PF-NAV-002</t>
        </is>
      </c>
      <c r="B8" s="13" t="inlineStr">
        <is>
          <t>Code Inventory</t>
        </is>
      </c>
      <c r="C8" s="13" t="inlineStr">
        <is>
          <t>Primary navigation / all public routes</t>
        </is>
      </c>
      <c r="D8" s="13" t="inlineStr">
        <is>
          <t>Desktop/tablet visitor</t>
        </is>
      </c>
      <c r="E8" s="13" t="inlineStr">
        <is>
          <t>As a visitor, I want access to Home, About, Projects, and Contact.</t>
        </is>
      </c>
      <c r="F8" s="13" t="inlineStr">
        <is>
          <t>Viewport &gt;=48rem.</t>
        </is>
      </c>
      <c r="G8" s="13" t="inlineStr">
        <is>
          <t>Activate a header nav item.</t>
        </is>
      </c>
      <c r="H8" s="13" t="inlineStr">
        <is>
          <t>Navigate to /, /about, /projects, or /contact; Home forces document navigation, others avoid prefetch.</t>
        </is>
      </c>
      <c r="I8" s="13" t="inlineStr">
        <is>
          <t>Header is hidden below 48rem; 44px minimum controls; aria-label="Primary navigation".</t>
        </is>
      </c>
      <c r="J8" s="13" t="inlineStr">
        <is>
          <t>src/data/navigation.ts:14-19; src/components/Sidebar.tsx:12-76; src/components/NavLink.tsx:39-62</t>
        </is>
      </c>
      <c r="K8" s="13" t="inlineStr">
        <is>
          <t>src/components/__tests__/Sidebar.test.tsx:11-96; src/components/__tests__/NavLink.test.tsx:23-93; e2e/navigation.spec.ts:8-22</t>
        </is>
      </c>
      <c r="L8" s="13" t="inlineStr">
        <is>
          <t>Active</t>
        </is>
      </c>
      <c r="M8" s="13" t="inlineStr">
        <is>
          <t>Pass</t>
        </is>
      </c>
      <c r="N8" s="13" t="inlineStr">
        <is>
          <t>Pass — All four destinations navigated at exact 768/1440. An injected marker persisted across About/Projects/Contact SPA transitions and cleared on Home, proving Home document navigation. Visible route controls are 44px minimum. Existing PERF-NAV-001 is separately confirmed for failure/latency feedback. Evidence: /tmp/portfolio-feature-audit/baseline/core/nav-desktop-about-projects.json; /tmp/portfolio-feature-audit/baseline/core/nav-desktop-projects-contact.json; /tmp/portfolio-feature-audit/baseline/core/nav-desktop-contact-about.json; /tmp/portfolio-feature-audit/baseline/core/nav-desktop-about-home.json; /tmp/portfolio-feature-audit/baseline/core/home-768-dom.json</t>
        </is>
      </c>
      <c r="O8" s="13" t="inlineStr">
        <is>
          <t>PERF-NAV-001</t>
        </is>
      </c>
      <c r="P8" s="13" t="inlineStr">
        <is>
          <t>Won't Fix</t>
        </is>
      </c>
      <c r="Q8" s="13" t="inlineStr">
        <is>
          <t>Pass</t>
        </is>
      </c>
      <c r="R8" s="13" t="inlineStr">
        <is>
          <t>Pass — All four destinations were present in the only visible primary navigation; actual dock/header and CTA activation reached Home, About, Projects, and Contact. Evidence: /tmp/portfolio-feature-audit/postfix/core/390/home-diagnostics.json; /tmp/portfolio-feature-audit/postfix/core/390/mobile-dock-about-url.txt; /tmp/portfolio-feature-audit/postfix/core/390/mobile-dock-home-url.txt; /tmp/portfolio-feature-audit/postfix/core/390/home-explore-url.txt; /tmp/portfolio-feature-audit/postfix/core/390/home-start-project-url.txt; /tmp/portfolio-feature-audit/postfix/core/768/nav-about-url.txt</t>
        </is>
      </c>
      <c r="S8" s="13" t="inlineStr"/>
      <c r="T8" s="13" t="inlineStr">
        <is>
          <t>Unassigned</t>
        </is>
      </c>
      <c r="U8" s="18" t="n">
        <v>46257</v>
      </c>
      <c r="V8" s="18" t="n">
        <v>46257.6050925926</v>
      </c>
    </row>
    <row r="9">
      <c r="A9" s="13" t="inlineStr">
        <is>
          <t>PF-NAV-003</t>
        </is>
      </c>
      <c r="B9" s="13" t="inlineStr">
        <is>
          <t>Code Inventory</t>
        </is>
      </c>
      <c r="C9" s="13" t="inlineStr">
        <is>
          <t>Primary navigation / all public routes</t>
        </is>
      </c>
      <c r="D9" s="13" t="inlineStr">
        <is>
          <t>Mobile visitor</t>
        </is>
      </c>
      <c r="E9" s="13" t="inlineStr">
        <is>
          <t>As a mobile visitor, I want a reachable bottom dock.</t>
        </is>
      </c>
      <c r="F9" s="13" t="inlineStr">
        <is>
          <t>Viewport &lt;48rem.</t>
        </is>
      </c>
      <c r="G9" s="13" t="inlineStr">
        <is>
          <t>Tap one of four route items.</t>
        </is>
      </c>
      <c r="H9" s="13" t="inlineStr">
        <is>
          <t>Navigate to the selected route through a fixed bottom dock.</t>
        </is>
      </c>
      <c r="I9" s="13" t="inlineStr">
        <is>
          <t>Safe-area paddings; minimum 56px items; truncated labels; exactly one primary nav visible.</t>
        </is>
      </c>
      <c r="J9" s="13" t="inlineStr">
        <is>
          <t>src/components/MobileNav.tsx:6-46; src/components/HomeNavigation.tsx:65-73</t>
        </is>
      </c>
      <c r="K9" s="13" t="inlineStr">
        <is>
          <t>src/components/__tests__/MobileNav.test.tsx:10-53; e2e/navigation.spec.ts:8-22; e2e/helpers.ts:13-27</t>
        </is>
      </c>
      <c r="L9" s="13" t="inlineStr">
        <is>
          <t>Active</t>
        </is>
      </c>
      <c r="M9" s="13" t="inlineStr">
        <is>
          <t>Pass</t>
        </is>
      </c>
      <c r="N9" s="13" t="inlineStr">
        <is>
          <t>Pass — At 390 only the mobile dock is visible; it is fixed, 92px high, and all four items are 85x58px. Home/About/Projects/Contact were each reached through the dock with the correct active state. Evidence: /tmp/portfolio-feature-audit/baseline/core/home-390-dom.json; /tmp/portfolio-feature-audit/baseline/core/nav-mobile-about.txt; /tmp/portfolio-feature-audit/baseline/core/nav-mobile-projects.txt; /tmp/portfolio-feature-audit/baseline/core/nav-mobile-contact.txt; /tmp/portfolio-feature-audit/baseline/core/home-390-focus-walk.jsonl</t>
        </is>
      </c>
      <c r="O9" s="13" t="inlineStr">
        <is>
          <t>PERF-NAV-001</t>
        </is>
      </c>
      <c r="P9" s="13" t="inlineStr">
        <is>
          <t>Won't Fix</t>
        </is>
      </c>
      <c r="Q9" s="13" t="inlineStr">
        <is>
          <t>Pass</t>
        </is>
      </c>
      <c r="R9" s="13" t="inlineStr">
        <is>
          <t>Pass — At 390 there was exactly one visible fixed bottom navigation (92px high) with four routes; About and Home activations navigated correctly. Evidence: /tmp/portfolio-feature-audit/postfix/core/390/home-diagnostics.json; /tmp/portfolio-feature-audit/postfix/core/390/mobile-dock-about-url.txt; /tmp/portfolio-feature-audit/postfix/core/390/mobile-dock-home-url.txt</t>
        </is>
      </c>
      <c r="S9" s="13" t="inlineStr"/>
      <c r="T9" s="13" t="inlineStr">
        <is>
          <t>Unassigned</t>
        </is>
      </c>
      <c r="U9" s="18" t="n">
        <v>46257</v>
      </c>
      <c r="V9" s="18" t="n">
        <v>46257.6050925926</v>
      </c>
    </row>
    <row r="10">
      <c r="A10" s="13" t="inlineStr">
        <is>
          <t>PF-NAV-004</t>
        </is>
      </c>
      <c r="B10" s="13" t="inlineStr">
        <is>
          <t>Code Inventory</t>
        </is>
      </c>
      <c r="C10" s="13" t="inlineStr">
        <is>
          <t>Primary navigation state</t>
        </is>
      </c>
      <c r="D10" s="13" t="inlineStr">
        <is>
          <t>Visitor/assistive tech</t>
        </is>
      </c>
      <c r="E10" s="13" t="inlineStr">
        <is>
          <t>As a visitor, I want the current route identified.</t>
        </is>
      </c>
      <c r="F10" s="13" t="inlineStr">
        <is>
          <t>Current pathname equals a nav href.</t>
        </is>
      </c>
      <c r="G10" s="13" t="inlineStr">
        <is>
          <t>Load/switch route.</t>
        </is>
      </c>
      <c r="H10" s="13" t="inlineStr">
        <is>
          <t>Active solid icon/style is used and internal link exposes aria-current="page"; 404 marks none active.</t>
        </is>
      </c>
      <c r="I10" s="13" t="inlineStr">
        <is>
          <t>Screen-reader current-page semantics; icon decorative.</t>
        </is>
      </c>
      <c r="J10" s="13" t="inlineStr">
        <is>
          <t>src/components/NavLink.tsx:27-34,53-61; src/components/Sidebar.tsx:43-75; src/components/MobileNav.tsx:13-42; src/app/not-found.tsx:42-44</t>
        </is>
      </c>
      <c r="K10" s="13" t="inlineStr">
        <is>
          <t>src/components/__tests__/NavLink.test.tsx:47-79; src/components/__tests__/MobileNav.test.tsx:37-53; src/components/__tests__/Sidebar.test.tsx:49-61</t>
        </is>
      </c>
      <c r="L10" s="13" t="inlineStr">
        <is>
          <t>Active</t>
        </is>
      </c>
      <c r="M10" s="13" t="inlineStr">
        <is>
          <t>Pass</t>
        </is>
      </c>
      <c r="N10" s="13" t="inlineStr">
        <is>
          <t>Pass — Home, About, Projects, and Contact each exposed one visible current route after navigation; the invalid route exposed none. Evidence: /tmp/portfolio-feature-audit/baseline/core/nav-desktop-about-home.json; /tmp/portfolio-feature-audit/baseline/core/nav-desktop-about-projects.json; /tmp/portfolio-feature-audit/baseline/core/nav-desktop-projects-contact.json; /tmp/portfolio-feature-audit/baseline/core/nav-desktop-contact-about.json; /tmp/portfolio-feature-audit/baseline/core/not-found-390-dom.json</t>
        </is>
      </c>
      <c r="O10" s="13" t="n"/>
      <c r="P10" s="13" t="inlineStr">
        <is>
          <t>Not Started</t>
        </is>
      </c>
      <c r="Q10" s="13" t="inlineStr">
        <is>
          <t>Pass</t>
        </is>
      </c>
      <c r="R10" s="13" t="inlineStr">
        <is>
          <t>Pass — Home and About each exposed exactly the correct current route across mobile/tablet/desktop; the invalid route exposed zero current links. Evidence: /tmp/portfolio-feature-audit/postfix/core/390/home-diagnostics.json; /tmp/portfolio-feature-audit/postfix/core/390/about-diagnostics.json; /tmp/portfolio-feature-audit/postfix/core/768/about-diagnostics.json; /tmp/portfolio-feature-audit/postfix/core/390/not-found-diagnostics.json</t>
        </is>
      </c>
      <c r="S10" s="13" t="inlineStr"/>
      <c r="T10" s="13" t="inlineStr">
        <is>
          <t>Unassigned</t>
        </is>
      </c>
      <c r="U10" s="18" t="n">
        <v>46257</v>
      </c>
      <c r="V10" s="18" t="n">
        <v>46257.6050925926</v>
      </c>
    </row>
    <row r="11">
      <c r="A11" s="13" t="inlineStr">
        <is>
          <t>PF-NAV-005</t>
        </is>
      </c>
      <c r="B11" s="13" t="inlineStr">
        <is>
          <t>Code Inventory</t>
        </is>
      </c>
      <c r="C11" s="13" t="inlineStr">
        <is>
          <t>Header CTA</t>
        </is>
      </c>
      <c r="D11" s="13" t="inlineStr">
        <is>
          <t>Prospective client</t>
        </is>
      </c>
      <c r="E11" s="13" t="inlineStr">
        <is>
          <t>As a prospect, I want a persistent way to start a project.</t>
        </is>
      </c>
      <c r="F11" s="13" t="inlineStr">
        <is>
          <t>Any public route rendered.</t>
        </is>
      </c>
      <c r="G11" s="13" t="inlineStr">
        <is>
          <t>Activate “Start a project.”</t>
        </is>
      </c>
      <c r="H11" s="13" t="inlineStr">
        <is>
          <t>Navigate to /contact.</t>
        </is>
      </c>
      <c r="I11" s="13" t="inlineStr">
        <is>
          <t>Icon-only presentation at constrained widths retains aria-label; minimum 44px target.</t>
        </is>
      </c>
      <c r="J11" s="13" t="inlineStr">
        <is>
          <t>src/components/Sidebar.tsx:106-117; src/components/HomeNavigation.tsx:58-60</t>
        </is>
      </c>
      <c r="K11" s="13" t="inlineStr">
        <is>
          <t>src/components/__tests__/Sidebar.test.tsx:88-96</t>
        </is>
      </c>
      <c r="L11" s="13" t="inlineStr">
        <is>
          <t>Active</t>
        </is>
      </c>
      <c r="M11" s="13" t="inlineStr">
        <is>
          <t>Pass</t>
        </is>
      </c>
      <c r="N11" s="13" t="inlineStr">
        <is>
          <t>Pass — At exact 768 the CTA is named Start a project, measures 155.8x44px, and navigates to /contact; Home hero CTA keyboard activation also reached /contact. Evidence: /tmp/portfolio-feature-audit/baseline/core/header-cta-768-metrics.json; /tmp/portfolio-feature-audit/baseline/core/header-cta-768-result.txt; /tmp/portfolio-feature-audit/baseline/core/home-hero-start-keyboard-result.txt</t>
        </is>
      </c>
      <c r="O11" s="13" t="inlineStr">
        <is>
          <t>PERF-NAV-001</t>
        </is>
      </c>
      <c r="P11" s="13" t="inlineStr">
        <is>
          <t>Won't Fix</t>
        </is>
      </c>
      <c r="Q11" s="13" t="inlineStr">
        <is>
          <t>Pass</t>
        </is>
      </c>
      <c r="R11" s="13" t="inlineStr">
        <is>
          <t>Pass — The 1440 header CTA was visible with an accessible label and activated /contact; the Home primary CTA also reached /contact. Evidence: /tmp/portfolio-feature-audit/postfix/core/1440/home-diagnostics.json; /tmp/portfolio-feature-audit/postfix/core/1440/header-cta-url.txt; /tmp/portfolio-feature-audit/postfix/core/390/home-start-project-url.txt</t>
        </is>
      </c>
      <c r="S11" s="13" t="inlineStr"/>
      <c r="T11" s="13" t="inlineStr">
        <is>
          <t>Unassigned</t>
        </is>
      </c>
      <c r="U11" s="18" t="n">
        <v>46257</v>
      </c>
      <c r="V11" s="18" t="n">
        <v>46257.6050925926</v>
      </c>
    </row>
    <row r="12">
      <c r="A12" s="13" t="inlineStr">
        <is>
          <t>PF-NAV-006</t>
        </is>
      </c>
      <c r="B12" s="13" t="inlineStr">
        <is>
          <t>Code Inventory</t>
        </is>
      </c>
      <c r="C12" s="13" t="inlineStr">
        <is>
          <t>Header social links</t>
        </is>
      </c>
      <c r="D12" s="13" t="inlineStr">
        <is>
          <t>Visitor</t>
        </is>
      </c>
      <c r="E12" s="13" t="inlineStr">
        <is>
          <t>As a visitor, I want professional profile links.</t>
        </is>
      </c>
      <c r="F12" s="13" t="inlineStr">
        <is>
          <t>Viewport &gt;=96rem (2xl) header social nav visible.</t>
        </is>
      </c>
      <c r="G12" s="13" t="inlineStr">
        <is>
          <t>Activate GitHub, LinkedIn, or Defendre Solutions icon.</t>
        </is>
      </c>
      <c r="H12" s="13" t="inlineStr">
        <is>
          <t>Open configured external destination in a new tab with opener protection.</t>
        </is>
      </c>
      <c r="I12" s="13" t="inlineStr">
        <is>
          <t>Dedicated aria-label per icon; icons hidden from AT; 44px targets.</t>
        </is>
      </c>
      <c r="J12" s="13" t="inlineStr">
        <is>
          <t>src/data/socials.ts:4-20; src/components/Sidebar.tsx:92-104; src/components/HomeNavigation.tsx:51-57</t>
        </is>
      </c>
      <c r="K12" s="13" t="inlineStr">
        <is>
          <t>src/components/__tests__/Sidebar.test.tsx:62-73; src/components/__tests__/HomeNavigation.test.tsx:5-13; src/data/__tests__/socials.test.ts:3-39</t>
        </is>
      </c>
      <c r="L12" s="13" t="inlineStr">
        <is>
          <t>Active</t>
        </is>
      </c>
      <c r="M12" s="13" t="inlineStr">
        <is>
          <t>Pass</t>
        </is>
      </c>
      <c r="N12" s="13" t="inlineStr">
        <is>
          <t>Pass — At 1536 all three controls were visible at 44x44px with noopener noreferrer and opened the configured GitHub, LinkedIn, and Defendre Solutions destinations. Existing A11Y-EXT-001 disclosure gap remains. Evidence: /tmp/portfolio-feature-audit/baseline/core/home-1536-interactive.txt; /tmp/portfolio-feature-audit/baseline/core/home-1536-external-links.json; /tmp/portfolio-feature-audit/baseline/core/social-github-tabs.txt; /tmp/portfolio-feature-audit/baseline/core/social-linkedin-tabs.txt; /tmp/portfolio-feature-audit/baseline/core/social-studio-tabs.txt</t>
        </is>
      </c>
      <c r="O12" s="13" t="inlineStr">
        <is>
          <t>A11Y-EXT-001</t>
        </is>
      </c>
      <c r="P12" s="13" t="inlineStr">
        <is>
          <t>Fixed</t>
        </is>
      </c>
      <c r="Q12" s="13" t="inlineStr">
        <is>
          <t>Pass</t>
        </is>
      </c>
      <c r="R12" s="13" t="inlineStr">
        <is>
          <t>Pass — At supplementary 1536, GitHub, LinkedIn, and studio controls were visible with disclosed new-tab names, protected rel values, and correct destinations; all three were activated successfully. Evidence: /tmp/portfolio-feature-audit/postfix/core/1440/social-1536-diagnostics.json; /tmp/portfolio-feature-audit/postfix/core/external/social-github-tabs.txt; /tmp/portfolio-feature-audit/postfix/core/external/social-linkedin-tabs.txt; /tmp/portfolio-feature-audit/postfix/core/external/social-studio-tabs.txt</t>
        </is>
      </c>
      <c r="S12" s="13" t="inlineStr"/>
      <c r="T12" s="13" t="inlineStr">
        <is>
          <t>Unassigned</t>
        </is>
      </c>
      <c r="U12" s="18" t="n">
        <v>46257</v>
      </c>
      <c r="V12" s="18" t="n">
        <v>46257.6050925926</v>
      </c>
    </row>
    <row r="13">
      <c r="A13" s="13" t="inlineStr">
        <is>
          <t>PF-NAV-007</t>
        </is>
      </c>
      <c r="B13" s="13" t="inlineStr">
        <is>
          <t>Code Inventory</t>
        </is>
      </c>
      <c r="C13" s="13" t="inlineStr">
        <is>
          <t>Footer / home and site routes</t>
        </is>
      </c>
      <c r="D13" s="13" t="inlineStr">
        <is>
          <t>Visitor</t>
        </is>
      </c>
      <c r="E13" s="13" t="inlineStr">
        <is>
          <t>As a visitor, I want authorship attribution.</t>
        </is>
      </c>
      <c r="F13" s="13" t="inlineStr">
        <is>
          <t>Page shell renders.</t>
        </is>
      </c>
      <c r="G13" s="13" t="inlineStr">
        <is>
          <t>Activate Defendre Solutions footer link.</t>
        </is>
      </c>
      <c r="H13" s="13" t="inlineStr">
        <is>
          <t>Open https://defendresolutions.com in a protected new tab; display “Built with intent.”</t>
        </is>
      </c>
      <c r="I13" s="13" t="inlineStr">
        <is>
          <t>Centered stack on mobile, split row at sm; link has focus treatment.</t>
        </is>
      </c>
      <c r="J13" s="13" t="inlineStr">
        <is>
          <t>src/components/HomeShell.tsx:11-14; src/app/(site)/layout.tsx:30-49</t>
        </is>
      </c>
      <c r="K13" s="13" t="inlineStr">
        <is>
          <t>src/app/(site)/layout.test.tsx:152-164; no direct footer-link assertion</t>
        </is>
      </c>
      <c r="L13" s="13" t="inlineStr">
        <is>
          <t>Active</t>
        </is>
      </c>
      <c r="M13" s="13" t="inlineStr">
        <is>
          <t>Pass</t>
        </is>
      </c>
      <c r="N13" s="13" t="inlineStr">
        <is>
          <t>Pass — Home and About footers expose the studio link plus Built with intent; both opened the studio in a protected new tab and participated in the complete keyboard focus walk. Evidence: /tmp/portfolio-feature-audit/baseline/core/home-1440-a11y.txt; /tmp/portfolio-feature-audit/baseline/core/about-1440-a11y.txt; /tmp/portfolio-feature-audit/baseline/core/home-footer-studio-tabs.txt; /tmp/portfolio-feature-audit/baseline/core/about-footer-studio-tabs.txt; /tmp/portfolio-feature-audit/baseline/core/home-1440-focus-walk.jsonl</t>
        </is>
      </c>
      <c r="O13" s="13" t="inlineStr">
        <is>
          <t>A11Y-EXT-001</t>
        </is>
      </c>
      <c r="P13" s="13" t="inlineStr">
        <is>
          <t>Fixed</t>
        </is>
      </c>
      <c r="Q13" s="13" t="inlineStr">
        <is>
          <t>Pass</t>
        </is>
      </c>
      <c r="R13" s="13" t="inlineStr">
        <is>
          <t>Pass — Footer attribution and Built with intent rendered; its disclosed Defendre Solutions link opened the correct protected external destination. Evidence: /tmp/portfolio-feature-audit/postfix/core/1440/home-diagnostics.json; /tmp/portfolio-feature-audit/postfix/core/external/footer-studio-tabs.txt; /tmp/portfolio-feature-audit/postfix/core/1440/about-full.png</t>
        </is>
      </c>
      <c r="S13" s="13" t="inlineStr"/>
      <c r="T13" s="13" t="inlineStr">
        <is>
          <t>Unassigned</t>
        </is>
      </c>
      <c r="U13" s="18" t="n">
        <v>46257</v>
      </c>
      <c r="V13" s="18" t="n">
        <v>46257.6050925926</v>
      </c>
    </row>
    <row r="14">
      <c r="A14" s="13" t="inlineStr">
        <is>
          <t>PF-NAV-008</t>
        </is>
      </c>
      <c r="B14" s="13" t="inlineStr">
        <is>
          <t>Code Inventory</t>
        </is>
      </c>
      <c r="C14" s="13" t="inlineStr">
        <is>
          <t>Link safety utility</t>
        </is>
      </c>
      <c r="D14" s="13" t="inlineStr">
        <is>
          <t>Visitor/security system</t>
        </is>
      </c>
      <c r="E14" s="13" t="inlineStr">
        <is>
          <t>As a visitor, I want unsafe URLs neutralized.</t>
        </is>
      </c>
      <c r="F14" s="13" t="inlineStr">
        <is>
          <t>Component receives an href.</t>
        </is>
      </c>
      <c r="G14" s="13" t="inlineStr">
        <is>
          <t>Render/click link.</t>
        </is>
      </c>
      <c r="H14" s="13" t="inlineStr">
        <is>
          <t>Allow relative/anchor/http/https/mailto/tel; block protocol-relative, javascript/data, empty, or invalid href by substituting # or omitting a link.</t>
        </is>
      </c>
      <c r="I14" s="13" t="inlineStr">
        <is>
          <t>Security behavior; external blank targets receive noopener noreferrer.</t>
        </is>
      </c>
      <c r="J14" s="13" t="inlineStr">
        <is>
          <t>src/utils/url.ts:1-23; src/components/NavLink.tsx:36-46; src/components/ProjectCard.tsx:67,204-218; src/app/(site)/contact/page.tsx:30-35</t>
        </is>
      </c>
      <c r="K14" s="13" t="inlineStr">
        <is>
          <t>src/utils/__tests__/url.test.ts:4-32; src/components/__tests__/NavLink.test.tsx:39-91; src/components/__tests__/ProjectCard.test.tsx:45-76</t>
        </is>
      </c>
      <c r="L14" s="13" t="inlineStr">
        <is>
          <t>Active</t>
        </is>
      </c>
      <c r="M14" s="13" t="inlineStr">
        <is>
          <t>Blocked</t>
        </is>
      </c>
      <c r="N14" s="13" t="inlineStr">
        <is>
          <t>Blocked — Runtime DOM crawl found only anchor, relative, and https hrefs, no unsafe rendered anchors, and secure rel on blank-target links. No public control accepts an href, so the negative unsafe-input substitution path cannot be exercised through the requested user-story browser lane without component instrumentation. Evidence: /tmp/portfolio-feature-audit/baseline/core/shell-home-head-and-link-safety.json; /tmp/portfolio-feature-audit/baseline/core/home-1536-external-links.json</t>
        </is>
      </c>
      <c r="O14" s="13" t="n"/>
      <c r="P14" s="13" t="inlineStr">
        <is>
          <t>Deferred</t>
        </is>
      </c>
      <c r="Q14" s="13" t="inlineStr">
        <is>
          <t>Blocked</t>
        </is>
      </c>
      <c r="R14" s="13" t="inlineStr">
        <is>
          <t>Blocked — Relative/http/https links worked in the fixed browser build and 15 URL/NavLink/global unit cases passed. The fixed UI exposes no controllable unsafe href input, so negative production-DOM substitution could not be injected without modifying source. Evidence: /tmp/portfolio-feature-audit/postfix/core/static-unit-verification.txt; /tmp/portfolio-feature-audit/postfix/core/390/home-diagnostics.json</t>
        </is>
      </c>
      <c r="S14" s="13" t="inlineStr"/>
      <c r="T14" s="13" t="inlineStr">
        <is>
          <t>Unassigned</t>
        </is>
      </c>
      <c r="U14" s="18" t="n">
        <v>46257</v>
      </c>
      <c r="V14" s="18" t="n">
        <v>46257.6050925926</v>
      </c>
    </row>
    <row r="15">
      <c r="A15" s="13" t="inlineStr">
        <is>
          <t>PF-HOME-001</t>
        </is>
      </c>
      <c r="B15" s="13" t="inlineStr">
        <is>
          <t>Code Inventory</t>
        </is>
      </c>
      <c r="C15" s="13" t="inlineStr">
        <is>
          <t>/ hero</t>
        </is>
      </c>
      <c r="D15" s="13" t="inlineStr">
        <is>
          <t>Visitor</t>
        </is>
      </c>
      <c r="E15" s="13" t="inlineStr">
        <is>
          <t>As a visitor, I want Steve’s positioning and availability immediately.</t>
        </is>
      </c>
      <c r="F15" s="13" t="inlineStr">
        <is>
          <t>Home route loads.</t>
        </is>
      </c>
      <c r="G15" s="13" t="inlineStr">
        <is>
          <t>Read hero.</t>
        </is>
      </c>
      <c r="H15" s="13" t="inlineStr">
        <is>
          <t>Show availability, veteran/full-stack founder identity, main value proposition, and build scope.</t>
        </is>
      </c>
      <c r="I15" s="13" t="inlineStr">
        <is>
          <t>Fluid heading; content/image order swaps at lg; semantic h1; decorative indicators hidden.</t>
        </is>
      </c>
      <c r="J15" s="13" t="inlineStr">
        <is>
          <t>src/app/(home)/page.tsx:31-71</t>
        </is>
      </c>
      <c r="K15" s="13" t="inlineStr">
        <is>
          <t>src/app/(home)/page.test.tsx:51-70</t>
        </is>
      </c>
      <c r="L15" s="13" t="inlineStr">
        <is>
          <t>Active</t>
        </is>
      </c>
      <c r="M15" s="13" t="inlineStr">
        <is>
          <t>Pass</t>
        </is>
      </c>
      <c r="N15" s="13" t="inlineStr">
        <is>
          <t>Pass — All required positioning copy and one h1 are present; portrait precedes copy on mobile and moves beside copy at desktop; 390/768/1440 captures are legible without overflow. Evidence: /tmp/portfolio-feature-audit/baseline/core/home-1440-a11y.txt; /tmp/portfolio-feature-audit/baseline/core/home-390-full.png; /tmp/portfolio-feature-audit/baseline/core/home-768-full.png; /tmp/portfolio-feature-audit/baseline/core/home-1440-full.png</t>
        </is>
      </c>
      <c r="O15" s="13" t="inlineStr">
        <is>
          <t>DESIGN-AI-001</t>
        </is>
      </c>
      <c r="P15" s="13" t="inlineStr">
        <is>
          <t>Won't Fix</t>
        </is>
      </c>
      <c r="Q15" s="13" t="inlineStr">
        <is>
          <t>Pass</t>
        </is>
      </c>
      <c r="R15" s="13" t="inlineStr">
        <is>
          <t>Pass — Responsive captures/accessibility tree showed the semantic h1, availability badge, veteran/full-stack identity, founder narrative, and application/booking/portfolio/tools scope. Evidence: /tmp/portfolio-feature-audit/postfix/core/390/home-a11y.txt; /tmp/portfolio-feature-audit/postfix/core/390/home-full.png; /tmp/portfolio-feature-audit/postfix/core/1440/home-full.png</t>
        </is>
      </c>
      <c r="S15" s="13" t="inlineStr"/>
      <c r="T15" s="13" t="inlineStr">
        <is>
          <t>Unassigned</t>
        </is>
      </c>
      <c r="U15" s="18" t="n">
        <v>46257</v>
      </c>
      <c r="V15" s="18" t="n">
        <v>46257.6050925926</v>
      </c>
    </row>
    <row r="16">
      <c r="A16" s="13" t="inlineStr">
        <is>
          <t>PF-HOME-002</t>
        </is>
      </c>
      <c r="B16" s="13" t="inlineStr">
        <is>
          <t>Code Inventory</t>
        </is>
      </c>
      <c r="C16" s="13" t="inlineStr">
        <is>
          <t>/ hero external link</t>
        </is>
      </c>
      <c r="D16" s="13" t="inlineStr">
        <is>
          <t>Visitor</t>
        </is>
      </c>
      <c r="E16" s="13" t="inlineStr">
        <is>
          <t>As a visitor, I want to learn about Defendre Solutions.</t>
        </is>
      </c>
      <c r="F16" s="13" t="inlineStr">
        <is>
          <t>Home hero visible.</t>
        </is>
      </c>
      <c r="G16" s="13" t="inlineStr">
        <is>
          <t>Activate “Defendre Solutions.”</t>
        </is>
      </c>
      <c r="H16" s="13" t="inlineStr">
        <is>
          <t>Open https://defendresolutions.com in a protected new tab.</t>
        </is>
      </c>
      <c r="I16" s="13" t="inlineStr">
        <is>
          <t>Underlined, focus-ring link; readable inline.</t>
        </is>
      </c>
      <c r="J16" s="13" t="inlineStr">
        <is>
          <t>src/app/(home)/page.tsx:59-70</t>
        </is>
      </c>
      <c r="K16" s="13" t="inlineStr">
        <is>
          <t>src/app/(home)/page.test.tsx:51-70</t>
        </is>
      </c>
      <c r="L16" s="13" t="inlineStr">
        <is>
          <t>Active</t>
        </is>
      </c>
      <c r="M16" s="13" t="inlineStr">
        <is>
          <t>Pass</t>
        </is>
      </c>
      <c r="N16" s="13" t="inlineStr">
        <is>
          <t>Pass — The link has target blank plus noopener noreferrer, opened the intended studio, and received a visible 2px focus outline. Existing A11Y-EXT-001 new-tab-name disclosure gap remains. Evidence: /tmp/portfolio-feature-audit/baseline/core/home-1536-external-links.json; /tmp/portfolio-feature-audit/baseline/core/home-hero-studio-tabs.txt; /tmp/portfolio-feature-audit/baseline/core/home-hero-studio-focus-diagnostic.json</t>
        </is>
      </c>
      <c r="O16" s="13" t="inlineStr">
        <is>
          <t>A11Y-EXT-001</t>
        </is>
      </c>
      <c r="P16" s="13" t="inlineStr">
        <is>
          <t>Fixed</t>
        </is>
      </c>
      <c r="Q16" s="13" t="inlineStr">
        <is>
          <t>Pass</t>
        </is>
      </c>
      <c r="R16" s="13" t="inlineStr">
        <is>
          <t>Pass — Accessible name now discloses the new tab; target/rel were protected and activation opened Defendre Solutions. Evidence: /tmp/portfolio-feature-audit/postfix/core/390/home-interactive.txt; /tmp/portfolio-feature-audit/postfix/core/390/home-diagnostics.json; /tmp/portfolio-feature-audit/postfix/core/external/home-studio-tabs.txt</t>
        </is>
      </c>
      <c r="S16" s="13" t="inlineStr"/>
      <c r="T16" s="13" t="inlineStr">
        <is>
          <t>Unassigned</t>
        </is>
      </c>
      <c r="U16" s="18" t="n">
        <v>46257</v>
      </c>
      <c r="V16" s="18" t="n">
        <v>46257.6050925926</v>
      </c>
    </row>
    <row r="17">
      <c r="A17" s="13" t="inlineStr">
        <is>
          <t>PF-HOME-003</t>
        </is>
      </c>
      <c r="B17" s="13" t="inlineStr">
        <is>
          <t>Code Inventory</t>
        </is>
      </c>
      <c r="C17" s="13" t="inlineStr">
        <is>
          <t>/ hero primary CTA</t>
        </is>
      </c>
      <c r="D17" s="13" t="inlineStr">
        <is>
          <t>Prospect</t>
        </is>
      </c>
      <c r="E17" s="13" t="inlineStr">
        <is>
          <t>As a prospect, I want to start a project.</t>
        </is>
      </c>
      <c r="F17" s="13" t="inlineStr">
        <is>
          <t>Home hero visible.</t>
        </is>
      </c>
      <c r="G17" s="13" t="inlineStr">
        <is>
          <t>Activate “Start a project.”</t>
        </is>
      </c>
      <c r="H17" s="13" t="inlineStr">
        <is>
          <t>Navigate to /contact.</t>
        </is>
      </c>
      <c r="I17" s="13" t="inlineStr">
        <is>
          <t>Stacks full-width on small screens, row at sm; minimum 48px.</t>
        </is>
      </c>
      <c r="J17" s="13" t="inlineStr">
        <is>
          <t>src/app/(home)/page.tsx:73-80</t>
        </is>
      </c>
      <c r="K17" s="13" t="inlineStr">
        <is>
          <t>src/app/(home)/page.test.tsx:51-70</t>
        </is>
      </c>
      <c r="L17" s="13" t="inlineStr">
        <is>
          <t>Active</t>
        </is>
      </c>
      <c r="M17" s="13" t="inlineStr">
        <is>
          <t>Pass</t>
        </is>
      </c>
      <c r="N17" s="13" t="inlineStr">
        <is>
          <t>Pass — Keyboard Enter reached /contact; control measured 48px high at desktop and 316x48px at 390. Evidence: /tmp/portfolio-feature-audit/baseline/core/home-hero-start-keyboard-focus.json; /tmp/portfolio-feature-audit/baseline/core/home-hero-start-keyboard-result.txt; /tmp/portfolio-feature-audit/baseline/core/home-390-dom.json</t>
        </is>
      </c>
      <c r="O17" s="13" t="n"/>
      <c r="P17" s="13" t="inlineStr">
        <is>
          <t>Not Started</t>
        </is>
      </c>
      <c r="Q17" s="13" t="inlineStr">
        <is>
          <t>Pass</t>
        </is>
      </c>
      <c r="R17" s="13" t="inlineStr">
        <is>
          <t>Pass — The visible Home primary CTA activation reached /contact at mobile width. Evidence: /tmp/portfolio-feature-audit/postfix/core/390/home-start-project-url.txt; /tmp/portfolio-feature-audit/postfix/core/390/home-full.png</t>
        </is>
      </c>
      <c r="S17" s="13" t="inlineStr"/>
      <c r="T17" s="13" t="inlineStr">
        <is>
          <t>Unassigned</t>
        </is>
      </c>
      <c r="U17" s="18" t="n">
        <v>46257</v>
      </c>
      <c r="V17" s="18" t="n">
        <v>46257.6050925926</v>
      </c>
    </row>
    <row r="18">
      <c r="A18" s="13" t="inlineStr">
        <is>
          <t>PF-HOME-004</t>
        </is>
      </c>
      <c r="B18" s="13" t="inlineStr">
        <is>
          <t>Code Inventory</t>
        </is>
      </c>
      <c r="C18" s="13" t="inlineStr">
        <is>
          <t>/ hero secondary CTA</t>
        </is>
      </c>
      <c r="D18" s="13" t="inlineStr">
        <is>
          <t>Visitor</t>
        </is>
      </c>
      <c r="E18" s="13" t="inlineStr">
        <is>
          <t>As a visitor, I want to explore work.</t>
        </is>
      </c>
      <c r="F18" s="13" t="inlineStr">
        <is>
          <t>Home hero visible.</t>
        </is>
      </c>
      <c r="G18" s="13" t="inlineStr">
        <is>
          <t>Activate “Explore the work.”</t>
        </is>
      </c>
      <c r="H18" s="13" t="inlineStr">
        <is>
          <t>Navigate to /projects.</t>
        </is>
      </c>
      <c r="I18" s="13" t="inlineStr">
        <is>
          <t>Same responsive CTA group and focus/hover states as primary.</t>
        </is>
      </c>
      <c r="J18" s="13" t="inlineStr">
        <is>
          <t>src/app/(home)/page.tsx:81-86</t>
        </is>
      </c>
      <c r="K18" s="13" t="inlineStr">
        <is>
          <t>src/app/(home)/page.test.tsx:51-70</t>
        </is>
      </c>
      <c r="L18" s="13" t="inlineStr">
        <is>
          <t>Active</t>
        </is>
      </c>
      <c r="M18" s="13" t="inlineStr">
        <is>
          <t>Pass</t>
        </is>
      </c>
      <c r="N18" s="13" t="inlineStr">
        <is>
          <t>Pass — Click reached /projects; mobile capture shows a full-width 48px secondary CTA and the focus walk reports a 2px visible outline. Evidence: /tmp/portfolio-feature-audit/baseline/core/home-explore-result.txt; /tmp/portfolio-feature-audit/baseline/core/home-390-full.png; /tmp/portfolio-feature-audit/baseline/core/home-390-focus-walk.jsonl</t>
        </is>
      </c>
      <c r="O18" s="13" t="n"/>
      <c r="P18" s="13" t="inlineStr">
        <is>
          <t>Not Started</t>
        </is>
      </c>
      <c r="Q18" s="13" t="inlineStr">
        <is>
          <t>Pass</t>
        </is>
      </c>
      <c r="R18" s="13" t="inlineStr">
        <is>
          <t>Pass — The visible secondary CTA activation reached /projects at mobile width. Evidence: /tmp/portfolio-feature-audit/postfix/core/390/home-explore-url.txt; /tmp/portfolio-feature-audit/postfix/core/390/home-full.png</t>
        </is>
      </c>
      <c r="S18" s="13" t="inlineStr"/>
      <c r="T18" s="13" t="inlineStr">
        <is>
          <t>Unassigned</t>
        </is>
      </c>
      <c r="U18" s="18" t="n">
        <v>46257</v>
      </c>
      <c r="V18" s="18" t="n">
        <v>46257.6050925926</v>
      </c>
    </row>
    <row r="19">
      <c r="A19" s="13" t="inlineStr">
        <is>
          <t>PF-HOME-005</t>
        </is>
      </c>
      <c r="B19" s="13" t="inlineStr">
        <is>
          <t>Code Inventory</t>
        </is>
      </c>
      <c r="C19" s="13" t="inlineStr">
        <is>
          <t>/ headshot</t>
        </is>
      </c>
      <c r="D19" s="13" t="inlineStr">
        <is>
          <t>Visitor/assistive tech</t>
        </is>
      </c>
      <c r="E19" s="13" t="inlineStr">
        <is>
          <t>As a visitor, I want a clear founder portrait and identity.</t>
        </is>
      </c>
      <c r="F19" s="13" t="inlineStr">
        <is>
          <t>Image optimizer available.</t>
        </is>
      </c>
      <c r="G19" s="13" t="inlineStr">
        <is>
          <t>Load hero image.</t>
        </is>
      </c>
      <c r="H19" s="13" t="inlineStr">
        <is>
          <t>Show responsive, high-priority headshot with founder/engineer/veteran caption.</t>
        </is>
      </c>
      <c r="I19" s="13" t="inlineStr">
        <is>
          <t>Descriptive alt; responsive sizes; eager high-priority image.</t>
        </is>
      </c>
      <c r="J19" s="13" t="inlineStr">
        <is>
          <t>src/app/(home)/page.tsx:90-112; src/components/ResponsiveImage.tsx:20-43</t>
        </is>
      </c>
      <c r="K19" s="13" t="inlineStr">
        <is>
          <t>src/app/(home)/page.test.tsx:51-70; no direct optimizer selection test</t>
        </is>
      </c>
      <c r="L19" s="13" t="inlineStr">
        <is>
          <t>Active</t>
        </is>
      </c>
      <c r="M19" s="13" t="inlineStr">
        <is>
          <t>Pass</t>
        </is>
      </c>
      <c r="N19" s="13" t="inlineStr">
        <is>
          <t>Pass — Accessibility tree exposes the descriptive founder portrait; runtime image is eager/high priority and the caption is visible at 390/768/1440. Existing PERF-IMG-001 concerns hidden/below-fold media, not this required LCP portrait. Evidence: /tmp/portfolio-feature-audit/baseline/core/home-1440-a11y.txt; /tmp/portfolio-feature-audit/baseline/core/home-390-dom.json; /tmp/portfolio-feature-audit/baseline/core/home-390-full.png</t>
        </is>
      </c>
      <c r="O19" s="13" t="inlineStr">
        <is>
          <t>PERF-IMG-001</t>
        </is>
      </c>
      <c r="P19" s="13" t="inlineStr">
        <is>
          <t>Fixed</t>
        </is>
      </c>
      <c r="Q19" s="13" t="inlineStr">
        <is>
          <t>Pass</t>
        </is>
      </c>
      <c r="R19" s="13" t="inlineStr">
        <is>
          <t>Pass — The visible hero portrait retained descriptive founder/veteran/full-stack alt, eager loading, high fetch priority, responsive geometry, and identity caption. The hidden nav avatar was separately lazy/low. Evidence: /tmp/portfolio-feature-audit/postfix/core/390/home-diagnostics.json; /tmp/portfolio-feature-audit/postfix/core/768/home-diagnostics.json; /tmp/portfolio-feature-audit/postfix/core/1440/home-diagnostics.json</t>
        </is>
      </c>
      <c r="S19" s="13" t="inlineStr"/>
      <c r="T19" s="13" t="inlineStr">
        <is>
          <t>Unassigned</t>
        </is>
      </c>
      <c r="U19" s="18" t="n">
        <v>46257</v>
      </c>
      <c r="V19" s="18" t="n">
        <v>46257.6050925926</v>
      </c>
    </row>
    <row r="20">
      <c r="A20" s="13" t="inlineStr">
        <is>
          <t>PF-HOME-006</t>
        </is>
      </c>
      <c r="B20" s="13" t="inlineStr">
        <is>
          <t>Code Inventory</t>
        </is>
      </c>
      <c r="C20" s="13" t="inlineStr">
        <is>
          <t>/ telemetry</t>
        </is>
      </c>
      <c r="D20" s="13" t="inlineStr">
        <is>
          <t>Visitor</t>
        </is>
      </c>
      <c r="E20" s="13" t="inlineStr">
        <is>
          <t>As a visitor, I want quick operating context.</t>
        </is>
      </c>
      <c r="F20" s="13" t="inlineStr">
        <is>
          <t>Home hero visible.</t>
        </is>
      </c>
      <c r="G20" s="13" t="inlineStr">
        <is>
          <t>Read telemetry.</t>
        </is>
      </c>
      <c r="H20" s="13" t="inlineStr">
        <is>
          <t>Present Studio, Build mode, and Operating edge as definition data.</t>
        </is>
      </c>
      <c r="I20" s="13" t="inlineStr">
        <is>
          <t>One-column mobile, three columns at sm; semantic dl/dt/dd.</t>
        </is>
      </c>
      <c r="J20" s="13" t="inlineStr">
        <is>
          <t>src/app/(home)/page.tsx:6-19,115-129</t>
        </is>
      </c>
      <c r="K20" s="13" t="inlineStr">
        <is>
          <t>src/app/(home)/page.test.tsx:51-70</t>
        </is>
      </c>
      <c r="L20" s="13" t="inlineStr">
        <is>
          <t>Active</t>
        </is>
      </c>
      <c r="M20" s="13" t="inlineStr">
        <is>
          <t>Pass</t>
        </is>
      </c>
      <c r="N20" s="13" t="inlineStr">
        <is>
          <t>Pass — Accessibility snapshot exposes three term/definition pairs; captures show one-column at 390 and three columns at 768/1440. Evidence: /tmp/portfolio-feature-audit/baseline/core/home-1440-a11y.txt; /tmp/portfolio-feature-audit/baseline/core/home-390-full.png; /tmp/portfolio-feature-audit/baseline/core/home-768-full.png</t>
        </is>
      </c>
      <c r="O20" s="13" t="n"/>
      <c r="P20" s="13" t="inlineStr">
        <is>
          <t>Not Started</t>
        </is>
      </c>
      <c r="Q20" s="13" t="inlineStr">
        <is>
          <t>Pass</t>
        </is>
      </c>
      <c r="R20" s="13" t="inlineStr">
        <is>
          <t>Pass — All three dt/dd pairs rendered with the expected values and responsive layout. Evidence: /tmp/portfolio-feature-audit/postfix/core/390/home-diagnostics.json; /tmp/portfolio-feature-audit/postfix/core/1440/home-full.png</t>
        </is>
      </c>
      <c r="S20" s="13" t="inlineStr"/>
      <c r="T20" s="13" t="inlineStr">
        <is>
          <t>Unassigned</t>
        </is>
      </c>
      <c r="U20" s="18" t="n">
        <v>46257</v>
      </c>
      <c r="V20" s="18" t="n">
        <v>46257.6050925926</v>
      </c>
    </row>
    <row r="21">
      <c r="A21" s="13" t="inlineStr">
        <is>
          <t>PF-HOME-007</t>
        </is>
      </c>
      <c r="B21" s="13" t="inlineStr">
        <is>
          <t>Code Inventory</t>
        </is>
      </c>
      <c r="C21" s="13" t="inlineStr">
        <is>
          <t>/ selected work</t>
        </is>
      </c>
      <c r="D21" s="13" t="inlineStr">
        <is>
          <t>Visitor</t>
        </is>
      </c>
      <c r="E21" s="13" t="inlineStr">
        <is>
          <t>As a visitor, I want a curated subset of work.</t>
        </is>
      </c>
      <c r="F21" s="13" t="inlineStr">
        <is>
          <t>Project catalog has &gt;=4 records.</t>
        </is>
      </c>
      <c r="G21" s="13" t="inlineStr">
        <is>
          <t>Scroll/read selected work.</t>
        </is>
      </c>
      <c r="H21" s="13" t="inlineStr">
        <is>
          <t>Render first four catalog projects; first is featured and remaining are compact.</t>
        </is>
      </c>
      <c r="I21" s="13" t="inlineStr">
        <is>
          <t>section labelled by h2; responsive cards.</t>
        </is>
      </c>
      <c r="J21" s="13" t="inlineStr">
        <is>
          <t>src/app/(home)/page.tsx:28-30,132-166</t>
        </is>
      </c>
      <c r="K21" s="13" t="inlineStr">
        <is>
          <t>src/app/(home)/page.test.tsx:71-90</t>
        </is>
      </c>
      <c r="L21" s="13" t="inlineStr">
        <is>
          <t>Active</t>
        </is>
      </c>
      <c r="M21" s="13" t="inlineStr">
        <is>
          <t>Pass</t>
        </is>
      </c>
      <c r="N21" s="13" t="inlineStr">
        <is>
          <t>Pass — Exactly four projects appear under A constellation of shipped systems; desktop metrics/capture show the featured/compact constellation and every card destination opened correctly. Existing PERF-IMG-001 and A11Y-IMG-001 are separately confirmed. Evidence: /tmp/portfolio-feature-audit/baseline/core/home-1440-a11y.txt; /tmp/portfolio-feature-audit/baseline/core/home-1440-full.png; /tmp/portfolio-feature-audit/baseline/core/home-project-studio-tabs.txt; /tmp/portfolio-feature-audit/baseline/core/home-project-freevoice-tabs.txt; /tmp/portfolio-feature-audit/baseline/core/home-project-braids-tabs.txt; /tmp/portfolio-feature-audit/baseline/core/home-project-traces-tabs.txt</t>
        </is>
      </c>
      <c r="O21" s="13" t="inlineStr">
        <is>
          <t>PERF-IMG-001; DESIGN-AI-001; A11Y-IMG-001</t>
        </is>
      </c>
      <c r="P21" s="13" t="inlineStr">
        <is>
          <t>Fixed</t>
        </is>
      </c>
      <c r="Q21" s="13" t="inlineStr">
        <is>
          <t>Pass</t>
        </is>
      </c>
      <c r="R21" s="13" t="inlineStr">
        <is>
          <t>Pass — Exactly Defendre Solutions, FreeVoiceTranscribe, BraidsbyRose, and Traces rendered under the labelled h2. Geometry showed the first featured and remaining compact; every project image was lazy/auto priority. Evidence: /tmp/portfolio-feature-audit/postfix/core/390/home-diagnostics.json; /tmp/portfolio-feature-audit/postfix/core/768/home-diagnostics.json; /tmp/portfolio-feature-audit/postfix/core/1440/home-diagnostics.json</t>
        </is>
      </c>
      <c r="S21" s="13" t="inlineStr"/>
      <c r="T21" s="13" t="inlineStr">
        <is>
          <t>Unassigned</t>
        </is>
      </c>
      <c r="U21" s="18" t="n">
        <v>46257</v>
      </c>
      <c r="V21" s="18" t="n">
        <v>46257.6050925926</v>
      </c>
    </row>
    <row r="22">
      <c r="A22" s="13" t="inlineStr">
        <is>
          <t>PF-HOME-008</t>
        </is>
      </c>
      <c r="B22" s="13" t="inlineStr">
        <is>
          <t>Code Inventory</t>
        </is>
      </c>
      <c r="C22" s="13" t="inlineStr">
        <is>
          <t>/ selected work layout</t>
        </is>
      </c>
      <c r="D22" s="13" t="inlineStr">
        <is>
          <t>Mobile/tablet/desktop visitor</t>
        </is>
      </c>
      <c r="E22" s="13" t="inlineStr">
        <is>
          <t>As a visitor, I want project cards usable at any width.</t>
        </is>
      </c>
      <c r="F22" s="13" t="inlineStr">
        <is>
          <t>Selected work rendered.</t>
        </is>
      </c>
      <c r="G22" s="13" t="inlineStr">
        <is>
          <t>Horizontal swipe on mobile or scan grid at tablet+.</t>
        </is>
      </c>
      <c r="H22" s="13" t="inlineStr">
        <is>
          <t>Mobile uses snap-mandatory horizontal rail; md switches to 12-column non-scrolling constellation.</t>
        </is>
      </c>
      <c r="I22" s="13" t="inlineStr">
        <is>
          <t>Avoids hidden content; snap-center; responsive span/offset placement.</t>
        </is>
      </c>
      <c r="J22" s="13" t="inlineStr">
        <is>
          <t>src/app/(home)/page.tsx:21-26,154-165</t>
        </is>
      </c>
      <c r="K22" s="13" t="inlineStr">
        <is>
          <t>No direct layout assertion; overflow coverage is on /projects, not /</t>
        </is>
      </c>
      <c r="L22" s="13" t="inlineStr">
        <is>
          <t>Active</t>
        </is>
      </c>
      <c r="M22" s="13" t="inlineStr">
        <is>
          <t>Pass</t>
        </is>
      </c>
      <c r="N22" s="13" t="inlineStr">
        <is>
          <t>Pass — At 390 the four-card container is 358px client/1212px scroll, overflow auto, x mandatory, with center snap on all cards; scrolling to max brought the last card wholly into view. Exact 768 has no wide scroll container and renders the constellation grid. Evidence: /tmp/portfolio-feature-audit/baseline/core/home-390-rail-before.json; /tmp/portfolio-feature-audit/baseline/core/home-390-rail-after.json; /tmp/portfolio-feature-audit/baseline/core/home-390-rail-after.png; /tmp/portfolio-feature-audit/baseline/core/home-768-dom.json; /tmp/portfolio-feature-audit/baseline/core/home-768-full.png</t>
        </is>
      </c>
      <c r="O22" s="13" t="n"/>
      <c r="P22" s="13" t="inlineStr">
        <is>
          <t>Not Started</t>
        </is>
      </c>
      <c r="Q22" s="13" t="inlineStr">
        <is>
          <t>Pass</t>
        </is>
      </c>
      <c r="R22" s="13" t="inlineStr">
        <is>
          <t>Pass — At 390 the rail used column flow, overflow auto, and x mandatory snapping. At exact 768 it used row flow, 12 columns, visible overflow, and no horizontal document overflow. Evidence: /tmp/portfolio-feature-audit/postfix/core/390/home-diagnostics.json; /tmp/portfolio-feature-audit/postfix/core/768/home-diagnostics.json; /tmp/portfolio-feature-audit/postfix/core/390/home-full.png; /tmp/portfolio-feature-audit/postfix/core/768/home-full.png</t>
        </is>
      </c>
      <c r="S22" s="13" t="inlineStr"/>
      <c r="T22" s="13" t="inlineStr">
        <is>
          <t>Unassigned</t>
        </is>
      </c>
      <c r="U22" s="18" t="n">
        <v>46257</v>
      </c>
      <c r="V22" s="18" t="n">
        <v>46257.6050925926</v>
      </c>
    </row>
    <row r="23">
      <c r="A23" s="13" t="inlineStr">
        <is>
          <t>PF-HOME-009</t>
        </is>
      </c>
      <c r="B23" s="13" t="inlineStr">
        <is>
          <t>Code Inventory</t>
        </is>
      </c>
      <c r="C23" s="13" t="inlineStr">
        <is>
          <t>/ full-project links</t>
        </is>
      </c>
      <c r="D23" s="13" t="inlineStr">
        <is>
          <t>Visitor</t>
        </is>
      </c>
      <c r="E23" s="13" t="inlineStr">
        <is>
          <t>As a visitor, I want the full archive after the curated subset.</t>
        </is>
      </c>
      <c r="F23" s="13" t="inlineStr">
        <is>
          <t>Home selected work visible.</t>
        </is>
      </c>
      <c r="G23" s="13" t="inlineStr">
        <is>
          <t>Activate “View the full project list” (or hero secondary CTA).</t>
        </is>
      </c>
      <c r="H23" s="13" t="inlineStr">
        <is>
          <t>Navigate to /projects.</t>
        </is>
      </c>
      <c r="I23" s="13" t="inlineStr">
        <is>
          <t>44px minimum, descriptive text, decorative arrow.</t>
        </is>
      </c>
      <c r="J23" s="13" t="inlineStr">
        <is>
          <t>src/app/(home)/page.tsx:145-151</t>
        </is>
      </c>
      <c r="K23" s="13" t="inlineStr">
        <is>
          <t>src/app/(home)/page.test.tsx:71-90</t>
        </is>
      </c>
      <c r="L23" s="13" t="inlineStr">
        <is>
          <t>Active</t>
        </is>
      </c>
      <c r="M23" s="13" t="inlineStr">
        <is>
          <t>Pass</t>
        </is>
      </c>
      <c r="N23" s="13" t="inlineStr">
        <is>
          <t>Pass — Both controls reached /projects; the full-list link measured 44px high and succeeded with keyboard Enter. Evidence: /tmp/portfolio-feature-audit/baseline/core/home-full-list-keyboard-result.txt; /tmp/portfolio-feature-audit/baseline/core/home-explore-result.txt; /tmp/portfolio-feature-audit/baseline/core/home-1440-focus-walk.jsonl</t>
        </is>
      </c>
      <c r="O23" s="13" t="n"/>
      <c r="P23" s="13" t="inlineStr">
        <is>
          <t>Not Started</t>
        </is>
      </c>
      <c r="Q23" s="13" t="inlineStr">
        <is>
          <t>Pass</t>
        </is>
      </c>
      <c r="R23" s="13" t="inlineStr">
        <is>
          <t>Pass — Both Explore the work and View the full project list were activated and reached /projects. Evidence: /tmp/portfolio-feature-audit/postfix/core/390/home-explore-url.txt; /tmp/portfolio-feature-audit/postfix/core/390/home-full-list-url.txt</t>
        </is>
      </c>
      <c r="S23" s="13" t="inlineStr"/>
      <c r="T23" s="13" t="inlineStr">
        <is>
          <t>Unassigned</t>
        </is>
      </c>
      <c r="U23" s="18" t="n">
        <v>46257</v>
      </c>
      <c r="V23" s="18" t="n">
        <v>46257.6050925926</v>
      </c>
    </row>
    <row r="24">
      <c r="A24" s="13" t="inlineStr">
        <is>
          <t>PF-ABOUT-001</t>
        </is>
      </c>
      <c r="B24" s="13" t="inlineStr">
        <is>
          <t>Code Inventory</t>
        </is>
      </c>
      <c r="C24" s="13" t="inlineStr">
        <is>
          <t>/about identity narrative</t>
        </is>
      </c>
      <c r="D24" s="13" t="inlineStr">
        <is>
          <t>Visitor</t>
        </is>
      </c>
      <c r="E24" s="13" t="inlineStr">
        <is>
          <t>As a visitor, I want Steve’s background and approach.</t>
        </is>
      </c>
      <c r="F24" s="13" t="inlineStr">
        <is>
          <t>About route loads.</t>
        </is>
      </c>
      <c r="G24" s="13" t="inlineStr">
        <is>
          <t>Read page header.</t>
        </is>
      </c>
      <c r="H24" s="13" t="inlineStr">
        <is>
          <t>Show veteran/founder/full-stack identity, current mission, and product-to-delivery narrative.</t>
        </is>
      </c>
      <c r="I24" s="13" t="inlineStr">
        <is>
          <t>Responsive portrait/columns; descriptive image alt; semantic h1.</t>
        </is>
      </c>
      <c r="J24" s="13" t="inlineStr">
        <is>
          <t>src/app/(site)/about/page.tsx:83-135</t>
        </is>
      </c>
      <c r="K24" s="13" t="inlineStr">
        <is>
          <t>src/app/(site)/about/page.test.tsx:5-21</t>
        </is>
      </c>
      <c r="L24" s="13" t="inlineStr">
        <is>
          <t>Active</t>
        </is>
      </c>
      <c r="M24" s="13" t="inlineStr">
        <is>
          <t>Pass</t>
        </is>
      </c>
      <c r="N24" s="13" t="inlineStr">
        <is>
          <t>Pass — All narrative content and one About Me h1 are present; portrait alt is Steve Defendre, founder of Defendre Solutions; stable 390/768/1440 captures reflow correctly without overflow. Evidence: /tmp/portfolio-feature-audit/baseline/core/about-1440-a11y.txt; /tmp/portfolio-feature-audit/baseline/core/about-390-full.png; /tmp/portfolio-feature-audit/baseline/core/about-768-full.png; /tmp/portfolio-feature-audit/baseline/core/about-1440-full-stable.png</t>
        </is>
      </c>
      <c r="O24" s="13" t="n"/>
      <c r="P24" s="13" t="inlineStr">
        <is>
          <t>Not Started</t>
        </is>
      </c>
      <c r="Q24" s="13" t="inlineStr">
        <is>
          <t>Pass</t>
        </is>
      </c>
      <c r="R24" s="13" t="inlineStr">
        <is>
          <t>Pass — About showed the veteran/founder/full-stack narrative, current mission, product-to-maintenance delivery approach, semantic h1, and responsive portrait at 390/768/1440. Evidence: /tmp/portfolio-feature-audit/postfix/core/390/about-diagnostics.json; /tmp/portfolio-feature-audit/postfix/core/390/about-full.png; /tmp/portfolio-feature-audit/postfix/core/768/about-full.png; /tmp/portfolio-feature-audit/postfix/core/1440/about-full.png</t>
        </is>
      </c>
      <c r="S24" s="13" t="inlineStr"/>
      <c r="T24" s="13" t="inlineStr">
        <is>
          <t>Unassigned</t>
        </is>
      </c>
      <c r="U24" s="18" t="n">
        <v>46257</v>
      </c>
      <c r="V24" s="18" t="n">
        <v>46257.6050925926</v>
      </c>
    </row>
    <row r="25">
      <c r="A25" s="13" t="inlineStr">
        <is>
          <t>PF-ABOUT-002</t>
        </is>
      </c>
      <c r="B25" s="13" t="inlineStr">
        <is>
          <t>Code Inventory</t>
        </is>
      </c>
      <c r="C25" s="13" t="inlineStr">
        <is>
          <t>/about studio link</t>
        </is>
      </c>
      <c r="D25" s="13" t="inlineStr">
        <is>
          <t>Visitor</t>
        </is>
      </c>
      <c r="E25" s="13" t="inlineStr">
        <is>
          <t>As a visitor, I want to open Steve’s studio.</t>
        </is>
      </c>
      <c r="F25" s="13" t="inlineStr">
        <is>
          <t>About narrative visible.</t>
        </is>
      </c>
      <c r="G25" s="13" t="inlineStr">
        <is>
          <t>Activate Defendre Solutions.</t>
        </is>
      </c>
      <c r="H25" s="13" t="inlineStr">
        <is>
          <t>Open studio site in protected new tab.</t>
        </is>
      </c>
      <c r="I25" s="13" t="inlineStr">
        <is>
          <t>Underlined focus-ring link.</t>
        </is>
      </c>
      <c r="J25" s="13" t="inlineStr">
        <is>
          <t>src/app/(site)/about/page.tsx:116-128</t>
        </is>
      </c>
      <c r="K25" s="13" t="inlineStr">
        <is>
          <t>src/app/(site)/about/page.test.tsx:12-21</t>
        </is>
      </c>
      <c r="L25" s="13" t="inlineStr">
        <is>
          <t>Active</t>
        </is>
      </c>
      <c r="M25" s="13" t="inlineStr">
        <is>
          <t>Pass</t>
        </is>
      </c>
      <c r="N25" s="13" t="inlineStr">
        <is>
          <t>Pass — Narrative studio link has secure blank-target behavior and opened the intended site; it appears in the keyboard tab order. Existing A11Y-EXT-001 disclosure gap remains. Evidence: /tmp/portfolio-feature-audit/baseline/core/about-390-dom.json; /tmp/portfolio-feature-audit/baseline/core/about-narrative-studio-tabs.txt; /tmp/portfolio-feature-audit/baseline/core/about-1440-a11y.txt</t>
        </is>
      </c>
      <c r="O25" s="13" t="inlineStr">
        <is>
          <t>A11Y-EXT-001</t>
        </is>
      </c>
      <c r="P25" s="13" t="inlineStr">
        <is>
          <t>Fixed</t>
        </is>
      </c>
      <c r="Q25" s="13" t="inlineStr">
        <is>
          <t>Pass</t>
        </is>
      </c>
      <c r="R25" s="13" t="inlineStr">
        <is>
          <t>Pass — The narrative link now discloses the new tab in its accessible name, retains protected rel, and opened the correct studio destination. Evidence: /tmp/portfolio-feature-audit/postfix/core/390/about-diagnostics.json; /tmp/portfolio-feature-audit/postfix/core/external/about-studio-tabs.txt</t>
        </is>
      </c>
      <c r="S25" s="13" t="inlineStr"/>
      <c r="T25" s="13" t="inlineStr">
        <is>
          <t>Unassigned</t>
        </is>
      </c>
      <c r="U25" s="18" t="n">
        <v>46257</v>
      </c>
      <c r="V25" s="18" t="n">
        <v>46257.6050925926</v>
      </c>
    </row>
    <row r="26">
      <c r="A26" s="13" t="inlineStr">
        <is>
          <t>PF-ABOUT-003</t>
        </is>
      </c>
      <c r="B26" s="13" t="inlineStr">
        <is>
          <t>Code Inventory</t>
        </is>
      </c>
      <c r="C26" s="13" t="inlineStr">
        <is>
          <t>/about proof points</t>
        </is>
      </c>
      <c r="D26" s="13" t="inlineStr">
        <is>
          <t>Visitor</t>
        </is>
      </c>
      <c r="E26" s="13" t="inlineStr">
        <is>
          <t>As a visitor, I want concise evidence of delivery range and stack.</t>
        </is>
      </c>
      <c r="F26" s="13" t="inlineStr">
        <is>
          <t>About route loads.</t>
        </is>
      </c>
      <c r="G26" s="13" t="inlineStr">
        <is>
          <t>Read proof points.</t>
        </is>
      </c>
      <c r="H26" s="13" t="inlineStr">
        <is>
          <t>Show studio, delivery range, and core stack values.</t>
        </is>
      </c>
      <c r="I26" s="13" t="inlineStr">
        <is>
          <t>Semantic definition list; responsive 1/3-column behavior.</t>
        </is>
      </c>
      <c r="J26" s="13" t="inlineStr">
        <is>
          <t>src/app/(site)/about/page.tsx:45-58,138-152</t>
        </is>
      </c>
      <c r="K26" s="13" t="inlineStr">
        <is>
          <t>src/app/(site)/about/page.test.tsx:34-41</t>
        </is>
      </c>
      <c r="L26" s="13" t="inlineStr">
        <is>
          <t>Active</t>
        </is>
      </c>
      <c r="M26" s="13" t="inlineStr">
        <is>
          <t>Pass</t>
        </is>
      </c>
      <c r="N26" s="13" t="inlineStr">
        <is>
          <t>Pass — All three term/definition pairs are present; captures show stacked mobile data and three-column tablet/desktop data. Evidence: /tmp/portfolio-feature-audit/baseline/core/about-1440-a11y.txt; /tmp/portfolio-feature-audit/baseline/core/about-390-full.png; /tmp/portfolio-feature-audit/baseline/core/about-768-full.png</t>
        </is>
      </c>
      <c r="O26" s="13" t="n"/>
      <c r="P26" s="13" t="inlineStr">
        <is>
          <t>Not Started</t>
        </is>
      </c>
      <c r="Q26" s="13" t="inlineStr">
        <is>
          <t>Pass</t>
        </is>
      </c>
      <c r="R26" s="13" t="inlineStr">
        <is>
          <t>Pass — All three expected definition pairs rendered with complete values and no overflow. Evidence: /tmp/portfolio-feature-audit/postfix/core/390/about-diagnostics.json; /tmp/portfolio-feature-audit/postfix/core/1440/about-full.png</t>
        </is>
      </c>
      <c r="S26" s="13" t="inlineStr"/>
      <c r="T26" s="13" t="inlineStr">
        <is>
          <t>Unassigned</t>
        </is>
      </c>
      <c r="U26" s="18" t="n">
        <v>46257</v>
      </c>
      <c r="V26" s="18" t="n">
        <v>46257.6050925926</v>
      </c>
    </row>
    <row r="27">
      <c r="A27" s="13" t="inlineStr">
        <is>
          <t>PF-ABOUT-004</t>
        </is>
      </c>
      <c r="B27" s="13" t="inlineStr">
        <is>
          <t>Code Inventory</t>
        </is>
      </c>
      <c r="C27" s="13" t="inlineStr">
        <is>
          <t>/about mission path</t>
        </is>
      </c>
      <c r="D27" s="13" t="inlineStr">
        <is>
          <t>Visitor</t>
        </is>
      </c>
      <c r="E27" s="13" t="inlineStr">
        <is>
          <t>As a visitor, I want Steve’s working principles.</t>
        </is>
      </c>
      <c r="F27" s="13" t="inlineStr">
        <is>
          <t>About route loads.</t>
        </is>
      </c>
      <c r="G27" s="13" t="inlineStr">
        <is>
          <t>Read ordered phases.</t>
        </is>
      </c>
      <c r="H27" s="13" t="inlineStr">
        <is>
          <t>Present Mission clarity, Delivery discipline, Owner-level judgment as phases 01-03.</t>
        </is>
      </c>
      <c r="I27" s="13" t="inlineStr">
        <is>
          <t>Ordered list; icons decorative; labelled section; responsive two-column layout.</t>
        </is>
      </c>
      <c r="J27" s="13" t="inlineStr">
        <is>
          <t>src/app/(site)/about/page.tsx:24-43,157-194</t>
        </is>
      </c>
      <c r="K27" s="13" t="inlineStr">
        <is>
          <t>src/app/(site)/about/page.test.tsx:34-41</t>
        </is>
      </c>
      <c r="L27" s="13" t="inlineStr">
        <is>
          <t>Active</t>
        </is>
      </c>
      <c r="M27" s="13" t="inlineStr">
        <is>
          <t>Pass</t>
        </is>
      </c>
      <c r="N27" s="13" t="inlineStr">
        <is>
          <t>Pass — Accessibility snapshot lists Phase 01/02/03 in order with required headings/copy; captures show connected vertical mobile/tablet and split desktop composition. Evidence: /tmp/portfolio-feature-audit/baseline/core/about-1440-a11y.txt; /tmp/portfolio-feature-audit/baseline/core/about-390-full.png; /tmp/portfolio-feature-audit/baseline/core/about-1440-full-stable.png</t>
        </is>
      </c>
      <c r="O27" s="13" t="inlineStr">
        <is>
          <t>DESIGN-AI-001</t>
        </is>
      </c>
      <c r="P27" s="13" t="inlineStr">
        <is>
          <t>Won't Fix</t>
        </is>
      </c>
      <c r="Q27" s="13" t="inlineStr">
        <is>
          <t>Pass</t>
        </is>
      </c>
      <c r="R27" s="13" t="inlineStr">
        <is>
          <t>Pass — The ordered timeline exposed all three numbered phases and their full descriptions across responsive captures. Evidence: /tmp/portfolio-feature-audit/postfix/core/390/about-diagnostics.json; /tmp/portfolio-feature-audit/postfix/core/768/about-full.png</t>
        </is>
      </c>
      <c r="S27" s="13" t="inlineStr"/>
      <c r="T27" s="13" t="inlineStr">
        <is>
          <t>Unassigned</t>
        </is>
      </c>
      <c r="U27" s="18" t="n">
        <v>46257</v>
      </c>
      <c r="V27" s="18" t="n">
        <v>46257.6050925926</v>
      </c>
    </row>
    <row r="28">
      <c r="A28" s="13" t="inlineStr">
        <is>
          <t>PF-ABOUT-005</t>
        </is>
      </c>
      <c r="B28" s="13" t="inlineStr">
        <is>
          <t>Code Inventory</t>
        </is>
      </c>
      <c r="C28" s="13" t="inlineStr">
        <is>
          <t>/about capabilities</t>
        </is>
      </c>
      <c r="D28" s="13" t="inlineStr">
        <is>
          <t>Visitor</t>
        </is>
      </c>
      <c r="E28" s="13" t="inlineStr">
        <is>
          <t>As a visitor, I want skill and capability coverage.</t>
        </is>
      </c>
      <c r="F28" s="13" t="inlineStr">
        <is>
          <t>About route loads.</t>
        </is>
      </c>
      <c r="G28" s="13" t="inlineStr">
        <is>
          <t>Read capability cards.</t>
        </is>
      </c>
      <c r="H28" s="13" t="inlineStr">
        <is>
          <t>Present Interface, Systems, Delivery, Infrastructure descriptions and skill lists.</t>
        </is>
      </c>
      <c r="I28" s="13" t="inlineStr">
        <is>
          <t>Labelled section; semantic articles/lists; two columns at md.</t>
        </is>
      </c>
      <c r="J28" s="13" t="inlineStr">
        <is>
          <t>src/app/(site)/about/page.tsx:60-81,196-234</t>
        </is>
      </c>
      <c r="K28" s="13" t="inlineStr">
        <is>
          <t>src/app/(site)/about/page.test.tsx:22-33</t>
        </is>
      </c>
      <c r="L28" s="13" t="inlineStr">
        <is>
          <t>Active</t>
        </is>
      </c>
      <c r="M28" s="13" t="inlineStr">
        <is>
          <t>Pass</t>
        </is>
      </c>
      <c r="N28" s="13" t="inlineStr">
        <is>
          <t>Pass — Interface, Systems, Delivery, and Infrastructure appear as four articles with labelled skill lists; mobile stack and 768/1440 2x2 layouts are visible and non-overflowing. Evidence: /tmp/portfolio-feature-audit/baseline/core/about-1440-a11y.txt; /tmp/portfolio-feature-audit/baseline/core/about-390-full.png; /tmp/portfolio-feature-audit/baseline/core/about-768-full.png; /tmp/portfolio-feature-audit/baseline/core/about-1440-full-stable.png</t>
        </is>
      </c>
      <c r="O28" s="13" t="inlineStr">
        <is>
          <t>DESIGN-AI-001</t>
        </is>
      </c>
      <c r="P28" s="13" t="inlineStr">
        <is>
          <t>Won't Fix</t>
        </is>
      </c>
      <c r="Q28" s="13" t="inlineStr">
        <is>
          <t>Pass</t>
        </is>
      </c>
      <c r="R28" s="13" t="inlineStr">
        <is>
          <t>Pass — Interface, Systems, Delivery, and Infrastructure rendered with complete skill lists and responsive stack/grid presentation. Evidence: /tmp/portfolio-feature-audit/postfix/core/390/about-diagnostics.json; /tmp/portfolio-feature-audit/postfix/core/390/about-a11y.txt; /tmp/portfolio-feature-audit/postfix/core/1440/about-full.png</t>
        </is>
      </c>
      <c r="S28" s="13" t="inlineStr"/>
      <c r="T28" s="13" t="inlineStr">
        <is>
          <t>Unassigned</t>
        </is>
      </c>
      <c r="U28" s="18" t="n">
        <v>46257</v>
      </c>
      <c r="V28" s="18" t="n">
        <v>46257.6050925926</v>
      </c>
    </row>
    <row r="29">
      <c r="A29" s="13" t="inlineStr">
        <is>
          <t>PF-ABOUT-006</t>
        </is>
      </c>
      <c r="B29" s="13" t="inlineStr">
        <is>
          <t>Code Inventory</t>
        </is>
      </c>
      <c r="C29" s="13" t="inlineStr">
        <is>
          <t>/about metadata</t>
        </is>
      </c>
      <c r="D29" s="13" t="inlineStr">
        <is>
          <t>Search/social crawler</t>
        </is>
      </c>
      <c r="E29" s="13" t="inlineStr">
        <is>
          <t>As a crawler, I want route-specific metadata.</t>
        </is>
      </c>
      <c r="F29" s="13" t="inlineStr">
        <is>
          <t>About route requested.</t>
        </is>
      </c>
      <c r="G29" s="13" t="inlineStr">
        <is>
          <t>Parse metadata.</t>
        </is>
      </c>
      <c r="H29" s="13" t="inlineStr">
        <is>
          <t>Use About title/description, canonical /about, and matching Open Graph URL/content.</t>
        </is>
      </c>
      <c r="I29" s="13" t="inlineStr">
        <is>
          <t>No visual behavior; accessible discoverability.</t>
        </is>
      </c>
      <c r="J29" s="13" t="inlineStr">
        <is>
          <t>src/app/(site)/about/page.tsx:9-22</t>
        </is>
      </c>
      <c r="K29" s="13" t="inlineStr">
        <is>
          <t>No direct metadata assertion</t>
        </is>
      </c>
      <c r="L29" s="13" t="inlineStr">
        <is>
          <t>Active</t>
        </is>
      </c>
      <c r="M29" s="13" t="inlineStr">
        <is>
          <t>Pass</t>
        </is>
      </c>
      <c r="N29" s="13" t="inlineStr">
        <is>
          <t>Pass — Source, local HTTP, and public production all use the About title/description; local canonical/OG resolve to localhost and public canonical/OG consistently resolve to the production /about URL. Evidence: /tmp/portfolio-feature-audit/baseline/reconciliation/about-metadata-comparison.json; /tmp/portfolio-feature-audit/baseline/reconciliation/about-local-headers.txt; /tmp/portfolio-feature-audit/baseline/reconciliation/about-public-headers.txt</t>
        </is>
      </c>
      <c r="O29" s="13" t="inlineStr">
        <is>
          <t>CAND-RUNTIME-METADATA-001</t>
        </is>
      </c>
      <c r="P29" s="13" t="inlineStr">
        <is>
          <t>Won't Fix</t>
        </is>
      </c>
      <c r="Q29" s="13" t="inlineStr">
        <is>
          <t>Pass</t>
        </is>
      </c>
      <c r="R29" s="13" t="inlineStr">
        <is>
          <t>Pass — Runtime title and description matched the contract; canonical and OG URL both resolved to /about and OG title/description matched route metadata. Evidence: /tmp/portfolio-feature-audit/postfix/core/390/about-diagnostics.json</t>
        </is>
      </c>
      <c r="S29" s="13" t="inlineStr"/>
      <c r="T29" s="13" t="inlineStr">
        <is>
          <t>Unassigned</t>
        </is>
      </c>
      <c r="U29" s="18" t="n">
        <v>46257</v>
      </c>
      <c r="V29" s="18" t="n">
        <v>46257.6050925926</v>
      </c>
    </row>
    <row r="30">
      <c r="A30" s="13" t="inlineStr">
        <is>
          <t>PF-PROJ-001</t>
        </is>
      </c>
      <c r="B30" s="13" t="inlineStr">
        <is>
          <t>Code Inventory</t>
        </is>
      </c>
      <c r="C30" s="13" t="inlineStr">
        <is>
          <t>/projects metadata</t>
        </is>
      </c>
      <c r="D30" s="13" t="inlineStr">
        <is>
          <t>Search/social crawler</t>
        </is>
      </c>
      <c r="E30" s="13" t="inlineStr">
        <is>
          <t>As a crawler, I want route-specific project metadata.</t>
        </is>
      </c>
      <c r="F30" s="13" t="inlineStr">
        <is>
          <t>Projects route requested.</t>
        </is>
      </c>
      <c r="G30" s="13" t="inlineStr">
        <is>
          <t>Parse metadata.</t>
        </is>
      </c>
      <c r="H30" s="13" t="inlineStr">
        <is>
          <t>Use Projects title/description, canonical /projects, and matching Open Graph URL/content.</t>
        </is>
      </c>
      <c r="I30" s="13" t="inlineStr">
        <is>
          <t>No visual behavior.</t>
        </is>
      </c>
      <c r="J30" s="13" t="inlineStr">
        <is>
          <t>src/app/(site)/projects/page.tsx:5-16</t>
        </is>
      </c>
      <c r="K30" s="13" t="inlineStr">
        <is>
          <t>src/app/(site)/projects/page.test.tsx:16-29 (catalog/category props; metadata not direct)</t>
        </is>
      </c>
      <c r="L30" s="13" t="inlineStr">
        <is>
          <t>Active</t>
        </is>
      </c>
      <c r="M30" s="13" t="inlineStr">
        <is>
          <t>Pass</t>
        </is>
      </c>
      <c r="N30" s="13" t="inlineStr">
        <is>
          <t>Pass — Title and descriptions matched; canonical and Open Graph URL both ended in /projects locally and used the correct production origin publicly. Evidence: /tmp/portfolio-feature-audit/baseline/projects/metadata-evidence.md; /tmp/portfolio-feature-audit/baseline/projects/1440/projects-all-full.png</t>
        </is>
      </c>
      <c r="O30" s="13" t="inlineStr">
        <is>
          <t>CAND-RUNTIME-METADATA-001</t>
        </is>
      </c>
      <c r="P30" s="13" t="inlineStr">
        <is>
          <t>Won't Fix</t>
        </is>
      </c>
      <c r="Q30" s="13" t="inlineStr">
        <is>
          <t>Pass</t>
        </is>
      </c>
      <c r="R30" s="13" t="inlineStr">
        <is>
          <t>Pass — Title was Projects | Steve Defendre; description was route-specific; canonical and Open Graph URL matched each other and ended in /projects. Evidence: /tmp/portfolio-feature-audit/postfix/projects/1440/dom-audit.json; /tmp/portfolio-feature-audit/postfix/projects/1440/projects-all-full.png</t>
        </is>
      </c>
      <c r="S30" s="13" t="inlineStr"/>
      <c r="T30" s="13" t="inlineStr">
        <is>
          <t>Unassigned</t>
        </is>
      </c>
      <c r="U30" s="18" t="n">
        <v>46257</v>
      </c>
      <c r="V30" s="18" t="n">
        <v>46257.6050925926</v>
      </c>
    </row>
    <row r="31">
      <c r="A31" s="13" t="inlineStr">
        <is>
          <t>PF-PROJ-002</t>
        </is>
      </c>
      <c r="B31" s="13" t="inlineStr">
        <is>
          <t>Code Inventory</t>
        </is>
      </c>
      <c r="C31" s="13" t="inlineStr">
        <is>
          <t>/projects overview</t>
        </is>
      </c>
      <c r="D31" s="13" t="inlineStr">
        <is>
          <t>Visitor</t>
        </is>
      </c>
      <c r="E31" s="13" t="inlineStr">
        <is>
          <t>As a visitor, I want the size and context of the archive.</t>
        </is>
      </c>
      <c r="F31" s="13" t="inlineStr">
        <is>
          <t>Projects route loads with catalog.</t>
        </is>
      </c>
      <c r="G31" s="13" t="inlineStr">
        <is>
          <t>Read header/current-view card.</t>
        </is>
      </c>
      <c r="H31" s="13" t="inlineStr">
        <is>
          <t>Show project overview, visible count, and “full archive” or active-category explanation.</t>
        </is>
      </c>
      <c r="I31" s="13" t="inlineStr">
        <is>
          <t>Semantic labelled section and h1; two-column header at lg.</t>
        </is>
      </c>
      <c r="J31" s="13" t="inlineStr">
        <is>
          <t>src/components/ProjectExplorer.tsx:34-98</t>
        </is>
      </c>
      <c r="K31" s="13" t="inlineStr">
        <is>
          <t>src/components/__tests__/ProjectExplorer.test.tsx:68-78; e2e/projects.spec.ts:4-10</t>
        </is>
      </c>
      <c r="L31" s="13" t="inlineStr">
        <is>
          <t>Active</t>
        </is>
      </c>
      <c r="M31" s="13" t="inlineStr">
        <is>
          <t>Pass</t>
        </is>
      </c>
      <c r="N31" s="13" t="inlineStr">
        <is>
          <t>Pass — Projects h1 and overview rendered; visible count was 7 initially and changed to 1 or 3 with matching context by filter. Evidence: /tmp/portfolio-feature-audit/baseline/projects/interaction-evidence.md; /tmp/portfolio-feature-audit/baseline/projects/1440/projects-all-full.png</t>
        </is>
      </c>
      <c r="O31" s="13" t="n"/>
      <c r="P31" s="13" t="inlineStr">
        <is>
          <t>Not Started</t>
        </is>
      </c>
      <c r="Q31" s="13" t="inlineStr">
        <is>
          <t>Pass</t>
        </is>
      </c>
      <c r="R31" s="13" t="inlineStr">
        <is>
          <t>Pass — Projects h1 and overview rendered; initial count was 7 and context/count updated for every filter at all three widths. Evidence: /tmp/portfolio-feature-audit/postfix/projects/interaction-evidence.md; /tmp/portfolio-feature-audit/postfix/projects/390/projects-all-full.png; /tmp/portfolio-feature-audit/postfix/projects/768/projects-all-full.png; /tmp/portfolio-feature-audit/postfix/projects/1440/projects-all-full.png</t>
        </is>
      </c>
      <c r="S31" s="13" t="inlineStr"/>
      <c r="T31" s="13" t="inlineStr">
        <is>
          <t>Unassigned</t>
        </is>
      </c>
      <c r="U31" s="18" t="n">
        <v>46257</v>
      </c>
      <c r="V31" s="18" t="n">
        <v>46257.6050925926</v>
      </c>
    </row>
    <row r="32">
      <c r="A32" s="13" t="inlineStr">
        <is>
          <t>PF-PROJ-003</t>
        </is>
      </c>
      <c r="B32" s="13" t="inlineStr">
        <is>
          <t>Code Inventory</t>
        </is>
      </c>
      <c r="C32" s="13" t="inlineStr">
        <is>
          <t>/projects category filters</t>
        </is>
      </c>
      <c r="D32" s="13" t="inlineStr">
        <is>
          <t>Visitor</t>
        </is>
      </c>
      <c r="E32" s="13" t="inlineStr">
        <is>
          <t>As a visitor, I want to filter by All, Studio, Client, or Product.</t>
        </is>
      </c>
      <c r="F32" s="13" t="inlineStr">
        <is>
          <t>Catalog/categories loaded.</t>
        </is>
      </c>
      <c r="G32" s="13" t="inlineStr">
        <is>
          <t>Activate a category chip.</t>
        </is>
      </c>
      <c r="H32" s="13" t="inlineStr">
        <is>
          <t>Exclusively set active filter and render only matching projects.</t>
        </is>
      </c>
      <c r="I32" s="13" t="inlineStr">
        <is>
          <t>Buttons are &gt;=44px, grouped with role=group; aria-pressed exposes state.</t>
        </is>
      </c>
      <c r="J32" s="13" t="inlineStr">
        <is>
          <t>src/components/ProjectExplorer.tsx:100-145; src/data/projects.ts:1-4</t>
        </is>
      </c>
      <c r="K32" s="13" t="inlineStr">
        <is>
          <t>src/components/__tests__/ProjectExplorer.test.tsx:68-92,114-136; e2e/projects.spec.ts:8-15</t>
        </is>
      </c>
      <c r="L32" s="13" t="inlineStr">
        <is>
          <t>Active</t>
        </is>
      </c>
      <c r="M32" s="13" t="inlineStr">
        <is>
          <t>Pass</t>
        </is>
      </c>
      <c r="N32" s="13" t="inlineStr">
        <is>
          <t>Pass — Pointer, Enter, and Space activations produced 7/1/3/3 articles; exactly one aria-pressed state was true; every button measured 44px; URL stayed /projects. Evidence: /tmp/portfolio-feature-audit/baseline/projects/interaction-evidence.md; /tmp/portfolio-feature-audit/baseline/projects/interactions/filter-client-full.png</t>
        </is>
      </c>
      <c r="O32" s="13" t="n"/>
      <c r="P32" s="13" t="inlineStr">
        <is>
          <t>Not Started</t>
        </is>
      </c>
      <c r="Q32" s="13" t="inlineStr">
        <is>
          <t>Pass</t>
        </is>
      </c>
      <c r="R32" s="13" t="inlineStr">
        <is>
          <t>Pass — All/Studio/Client/Product produced 7/1/3/3 cards at 390, exact 768, and 1440; one pressed state remained exclusive; buttons measured 44px; pointer, Enter, and Space activation passed; URL stayed /projects. Evidence: /tmp/portfolio-feature-audit/postfix/projects/interaction-evidence.md; /tmp/portfolio-feature-audit/postfix/projects/interactions/product-filter-full.png</t>
        </is>
      </c>
      <c r="S32" s="13" t="inlineStr"/>
      <c r="T32" s="13" t="inlineStr">
        <is>
          <t>Unassigned</t>
        </is>
      </c>
      <c r="U32" s="18" t="n">
        <v>46257</v>
      </c>
      <c r="V32" s="18" t="n">
        <v>46257.6050925926</v>
      </c>
    </row>
    <row r="33">
      <c r="A33" s="13" t="inlineStr">
        <is>
          <t>PF-PROJ-004</t>
        </is>
      </c>
      <c r="B33" s="13" t="inlineStr">
        <is>
          <t>Code Inventory</t>
        </is>
      </c>
      <c r="C33" s="13" t="inlineStr">
        <is>
          <t>/projects live count</t>
        </is>
      </c>
      <c r="D33" s="13" t="inlineStr">
        <is>
          <t>Visitor/assistive tech</t>
        </is>
      </c>
      <c r="E33" s="13" t="inlineStr">
        <is>
          <t>As a visitor, I want filtering results announced.</t>
        </is>
      </c>
      <c r="F33" s="13" t="inlineStr">
        <is>
          <t>Filter state changes.</t>
        </is>
      </c>
      <c r="G33" s="13" t="inlineStr">
        <is>
          <t>Activate filter.</t>
        </is>
      </c>
      <c r="H33" s="13" t="inlineStr">
        <is>
          <t>Update singular/plural count (“Showing N … project(s)”).</t>
        </is>
      </c>
      <c r="I33" s="13" t="inlineStr">
        <is>
          <t>aria-live="polite"; visible count card also updates.</t>
        </is>
      </c>
      <c r="J33" s="13" t="inlineStr">
        <is>
          <t>src/components/ProjectExplorer.tsx:40-53,82-95,101-111</t>
        </is>
      </c>
      <c r="K33" s="13" t="inlineStr">
        <is>
          <t>src/components/__tests__/ProjectExplorer.test.tsx:69-92; e2e/projects.spec.ts:8-15</t>
        </is>
      </c>
      <c r="L33" s="13" t="inlineStr">
        <is>
          <t>Active</t>
        </is>
      </c>
      <c r="M33" s="13" t="inlineStr">
        <is>
          <t>Pass</t>
        </is>
      </c>
      <c r="N33" s="13" t="inlineStr">
        <is>
          <t>Pass — Announcements changed among Showing 7 of 7 projects, Showing 1 Studio project, Showing 3 Client projects, and Showing 3 Product projects; the visible count/context card updated in lockstep. Evidence: /tmp/portfolio-feature-audit/baseline/projects/interaction-evidence.md</t>
        </is>
      </c>
      <c r="O33" s="13" t="n"/>
      <c r="P33" s="13" t="inlineStr">
        <is>
          <t>Not Started</t>
        </is>
      </c>
      <c r="Q33" s="13" t="inlineStr">
        <is>
          <t>Pass</t>
        </is>
      </c>
      <c r="R33" s="13" t="inlineStr">
        <is>
          <t>Pass — Announcements were Showing 7 of 7 projects, Showing 1 Studio project, Showing 3 Client projects, and Showing 3 Product projects at every required width, with matching visible counts. Evidence: /tmp/portfolio-feature-audit/postfix/projects/interaction-evidence.md; /tmp/portfolio-feature-audit/postfix/projects/390/dom-audit.json; /tmp/portfolio-feature-audit/postfix/projects/768/dom-audit.json</t>
        </is>
      </c>
      <c r="S33" s="13" t="inlineStr"/>
      <c r="T33" s="13" t="inlineStr">
        <is>
          <t>Unassigned</t>
        </is>
      </c>
      <c r="U33" s="18" t="n">
        <v>46257</v>
      </c>
      <c r="V33" s="18" t="n">
        <v>46257.6050925926</v>
      </c>
    </row>
    <row r="34">
      <c r="A34" s="13" t="inlineStr">
        <is>
          <t>PF-PROJ-005</t>
        </is>
      </c>
      <c r="B34" s="13" t="inlineStr">
        <is>
          <t>Code Inventory</t>
        </is>
      </c>
      <c r="C34" s="13" t="inlineStr">
        <is>
          <t>/projects project cards</t>
        </is>
      </c>
      <c r="D34" s="13" t="inlineStr">
        <is>
          <t>Visitor</t>
        </is>
      </c>
      <c r="E34" s="13" t="inlineStr">
        <is>
          <t>As a visitor, I want role, outcome, description, tags, and status for every project.</t>
        </is>
      </c>
      <c r="F34" s="13" t="inlineStr">
        <is>
          <t>Visible catalog record exists.</t>
        </is>
      </c>
      <c r="G34" s="13" t="inlineStr">
        <is>
          <t>Read a card.</t>
        </is>
      </c>
      <c r="H34" s="13" t="inlineStr">
        <is>
          <t>Show preview, deployment/prototype label, title, description, Role, Outcome, tags, and CTA when URL is safe.</t>
        </is>
      </c>
      <c r="I34" s="13" t="inlineStr">
        <is>
          <t>Semantic content; responsive clamps and sizes; live/prototype color dot is supplemented by text.</t>
        </is>
      </c>
      <c r="J34" s="13" t="inlineStr">
        <is>
          <t>src/components/ProjectCard.tsx:50-200</t>
        </is>
      </c>
      <c r="K34" s="13" t="inlineStr">
        <is>
          <t>src/components/__tests__/ProjectCard.test.tsx:5-176</t>
        </is>
      </c>
      <c r="L34" s="13" t="inlineStr">
        <is>
          <t>Active</t>
        </is>
      </c>
      <c r="M34" s="13" t="inlineStr">
        <is>
          <t>Pass</t>
        </is>
      </c>
      <c r="N34" s="13" t="inlineStr">
        <is>
          <t>Pass — All seven cards exposed the complete expected content. Six showed Live/Live deployment and Traces showed Prototype. CTAs matched the catalog. Evidence: /tmp/portfolio-feature-audit/baseline/projects/1440/projects-all-full.png; /tmp/portfolio-feature-audit/baseline/projects/snapshot-1440.txt</t>
        </is>
      </c>
      <c r="O34" s="13" t="inlineStr">
        <is>
          <t>A11Y-IMG-001; DESIGN-AI-001</t>
        </is>
      </c>
      <c r="P34" s="13" t="inlineStr">
        <is>
          <t>Fixed</t>
        </is>
      </c>
      <c r="Q34" s="13" t="inlineStr">
        <is>
          <t>Pass</t>
        </is>
      </c>
      <c r="R34" s="13" t="inlineStr">
        <is>
          <t>Pass — All seven cards exposed complete expected content. Six were Live/Live deployment; Traces was Prototype. Project-specific CTAs and catalog content matched. Evidence: /tmp/portfolio-feature-audit/postfix/projects/catalog-audit.json; /tmp/portfolio-feature-audit/postfix/projects/1440/projects-all-full.png</t>
        </is>
      </c>
      <c r="S34" s="13" t="inlineStr"/>
      <c r="T34" s="13" t="inlineStr">
        <is>
          <t>Unassigned</t>
        </is>
      </c>
      <c r="U34" s="18" t="n">
        <v>46257</v>
      </c>
      <c r="V34" s="18" t="n">
        <v>46257.6050925926</v>
      </c>
    </row>
    <row r="35">
      <c r="A35" s="13" t="inlineStr">
        <is>
          <t>PF-PROJ-006</t>
        </is>
      </c>
      <c r="B35" s="13" t="inlineStr">
        <is>
          <t>Code Inventory</t>
        </is>
      </c>
      <c r="C35" s="13" t="inlineStr">
        <is>
          <t>/projects project images/fallback</t>
        </is>
      </c>
      <c r="D35" s="13" t="inlineStr">
        <is>
          <t>Visitor/assistive tech</t>
        </is>
      </c>
      <c r="E35" s="13" t="inlineStr">
        <is>
          <t>As a visitor, I want recognizable previews with graceful fallback.</t>
        </is>
      </c>
      <c r="F35" s="13" t="inlineStr">
        <is>
          <t>Record may have image or only initials/gradient.</t>
        </is>
      </c>
      <c r="G35" s="13" t="inlineStr">
        <is>
          <t>Load card.</t>
        </is>
      </c>
      <c r="H35" s="13" t="inlineStr">
        <is>
          <t>Use responsive optimized image with contextual alt; otherwise render decorative gradient/initials fallback.</t>
        </is>
      </c>
      <c r="I35" s="13" t="inlineStr">
        <is>
          <t>Images use async decode and lazy/eager policy; fallback is aria-hidden.</t>
        </is>
      </c>
      <c r="J35" s="13" t="inlineStr">
        <is>
          <t>src/components/ProjectCard.tsx:28-48,67-75,84-123; src/components/ResponsiveImage.tsx:20-43</t>
        </is>
      </c>
      <c r="K35" s="13" t="inlineStr">
        <is>
          <t>src/components/__tests__/ProjectCard.test.tsx:79-93,118-159</t>
        </is>
      </c>
      <c r="L35" s="13" t="inlineStr">
        <is>
          <t>Active</t>
        </is>
      </c>
      <c r="M35" s="13" t="inlineStr">
        <is>
          <t>Fail</t>
        </is>
      </c>
      <c r="N35" s="13" t="inlineStr">
        <is>
          <t>Fail — All seven images loaded responsively with nonzero natural width, but Traces was visibly Prototype while its alt said Traces live project preview. No catalog record lacked an image, so the fallback path was not runtime-reachable. Evidence: /tmp/portfolio-feature-audit/baseline/projects/console-network.md; /tmp/portfolio-feature-audit/baseline/projects/1440/projects-all-full.png</t>
        </is>
      </c>
      <c r="O35" s="13" t="inlineStr">
        <is>
          <t>PERF-IMG-001; A11Y-IMG-001</t>
        </is>
      </c>
      <c r="P35" s="13" t="inlineStr">
        <is>
          <t>Fixed</t>
        </is>
      </c>
      <c r="Q35" s="13" t="inlineStr">
        <is>
          <t>Pass</t>
        </is>
      </c>
      <c r="R35" s="13" t="inlineStr">
        <is>
          <t>Pass — All seven previews returned HTTP 200, rendered responsively with nonzero natural dimensions during full coverage, used concise accurate alt, async decoding, lazy/auto loading, and responsive sizes. Traces no longer claims a live state. No catalog item lacks an image, so fallback remained runtime-unreachable. Evidence: /tmp/portfolio-feature-audit/postfix/projects/catalog-audit.json; /tmp/portfolio-feature-audit/postfix/projects/candidate-evidence.md; /tmp/portfolio-feature-audit/postfix/projects/390/dom-audit.json</t>
        </is>
      </c>
      <c r="S35" s="13" t="inlineStr"/>
      <c r="T35" s="13" t="inlineStr">
        <is>
          <t>Unassigned</t>
        </is>
      </c>
      <c r="U35" s="18" t="n">
        <v>46257</v>
      </c>
      <c r="V35" s="18" t="n">
        <v>46257.6050925926</v>
      </c>
    </row>
    <row r="36">
      <c r="A36" s="13" t="inlineStr">
        <is>
          <t>PF-PROJ-007</t>
        </is>
      </c>
      <c r="B36" s="13" t="inlineStr">
        <is>
          <t>Code Inventory</t>
        </is>
      </c>
      <c r="C36" s="13" t="inlineStr">
        <is>
          <t>/projects responsive detail density</t>
        </is>
      </c>
      <c r="D36" s="13" t="inlineStr">
        <is>
          <t>Mobile/desktop visitor</t>
        </is>
      </c>
      <c r="E36" s="13" t="inlineStr">
        <is>
          <t>As a visitor, I want cards readable without overload.</t>
        </is>
      </c>
      <c r="F36" s="13" t="inlineStr">
        <is>
          <t>Compact card rendered.</t>
        </is>
      </c>
      <c r="G36" s="13" t="inlineStr">
        <is>
          <t>View at different widths.</t>
        </is>
      </c>
      <c r="H36" s="13" t="inlineStr">
        <is>
          <t>Compact description/outcome clamps; tags after third hide until lg; featured card expands at lg.</t>
        </is>
      </c>
      <c r="I36" s="13" t="inlineStr">
        <is>
          <t>Responsive visual density without removing core title/CTA/status.</t>
        </is>
      </c>
      <c r="J36" s="13" t="inlineStr">
        <is>
          <t>src/components/ProjectCard.tsx:65-87,142-191</t>
        </is>
      </c>
      <c r="K36" s="13" t="inlineStr">
        <is>
          <t>src/components/__tests__/ProjectCard.test.tsx:94-117</t>
        </is>
      </c>
      <c r="L36" s="13" t="inlineStr">
        <is>
          <t>Active</t>
        </is>
      </c>
      <c r="M36" s="13" t="inlineStr">
        <is>
          <t>Pass</t>
        </is>
      </c>
      <c r="N36" s="13" t="inlineStr">
        <is>
          <t>Pass — Fourth tags were hidden at 390 and 768 and visible at 1440; core title/status/CTA remained present; no overflow occurred. Evidence: /tmp/portfolio-feature-audit/baseline/projects/390/projects-all-full.png; /tmp/portfolio-feature-audit/baseline/projects/768/projects-all-full.png; /tmp/portfolio-feature-audit/baseline/projects/1440/projects-all-full.png</t>
        </is>
      </c>
      <c r="O36" s="13" t="n"/>
      <c r="P36" s="13" t="inlineStr">
        <is>
          <t>Not Started</t>
        </is>
      </c>
      <c r="Q36" s="13" t="inlineStr">
        <is>
          <t>Pass</t>
        </is>
      </c>
      <c r="R36" s="13" t="inlineStr">
        <is>
          <t>Pass — Cards were 358px at 390, 720px at exact 768, and two ~652px columns at 1440 with no overflow. Fourth tags were hidden at 390/768 and visible at 1440; core content remained. Evidence: /tmp/portfolio-feature-audit/postfix/projects/390/dom-audit.json; /tmp/portfolio-feature-audit/postfix/projects/768/dom-audit.json; /tmp/portfolio-feature-audit/postfix/projects/interaction-evidence.md</t>
        </is>
      </c>
      <c r="S36" s="13" t="inlineStr"/>
      <c r="T36" s="13" t="inlineStr">
        <is>
          <t>Unassigned</t>
        </is>
      </c>
      <c r="U36" s="18" t="n">
        <v>46257</v>
      </c>
      <c r="V36" s="18" t="n">
        <v>46257.6050925926</v>
      </c>
    </row>
    <row r="37">
      <c r="A37" s="13" t="inlineStr">
        <is>
          <t>PF-PROJ-008</t>
        </is>
      </c>
      <c r="B37" s="13" t="inlineStr">
        <is>
          <t>Code Inventory</t>
        </is>
      </c>
      <c r="C37" s="13" t="inlineStr">
        <is>
          <t>/projects external project link</t>
        </is>
      </c>
      <c r="D37" s="13" t="inlineStr">
        <is>
          <t>Visitor/security system</t>
        </is>
      </c>
      <c r="E37" s="13" t="inlineStr">
        <is>
          <t>As a visitor, I want to open a project safely.</t>
        </is>
      </c>
      <c r="F37" s="13" t="inlineStr">
        <is>
          <t>Project has safe URL.</t>
        </is>
      </c>
      <c r="G37" s="13" t="inlineStr">
        <is>
          <t>Activate the card.</t>
        </is>
      </c>
      <c r="H37" s="13" t="inlineStr">
        <is>
          <t>Entire card opens configured URL in new tab with noopener noreferrer; aria-label includes CTA, title, and “opens in new tab.”</t>
        </is>
      </c>
      <c r="I37" s="13" t="inlineStr">
        <is>
          <t>One large focusable target; unsafe/missing URL renders non-link card.</t>
        </is>
      </c>
      <c r="J37" s="13" t="inlineStr">
        <is>
          <t>src/components/ProjectCard.tsx:67,194-218</t>
        </is>
      </c>
      <c r="K37" s="13" t="inlineStr">
        <is>
          <t>src/components/__tests__/ProjectCard.test.tsx:45-76,118-159; src/components/__tests__/ProjectExplorer.test.tsx:138-162</t>
        </is>
      </c>
      <c r="L37" s="13" t="inlineStr">
        <is>
          <t>Active</t>
        </is>
      </c>
      <c r="M37" s="13" t="inlineStr">
        <is>
          <t>Pass</t>
        </is>
      </c>
      <c r="N37" s="13" t="inlineStr">
        <is>
          <t>Pass — All seven full-card links had target=_blank, noopener noreferrer, and project/CTA/new-tab accessible names; browser activation opened all configured external destinations while retaining Projects. Evidence: /tmp/portfolio-feature-audit/baseline/projects/interaction-evidence.md; /tmp/portfolio-feature-audit/baseline/projects/snapshot-1440.txt</t>
        </is>
      </c>
      <c r="O37" s="13" t="inlineStr">
        <is>
          <t>A11Y-EXT-001</t>
        </is>
      </c>
      <c r="P37" s="13" t="inlineStr">
        <is>
          <t>Fixed</t>
        </is>
      </c>
      <c r="Q37" s="13" t="inlineStr">
        <is>
          <t>Pass</t>
        </is>
      </c>
      <c r="R37" s="13" t="inlineStr">
        <is>
          <t>Pass — All seven cards had target=_blank, noopener noreferrer, and CTA/title/new-tab accessible names. New-tab activation retained Projects and opened every configured external destination. Evidence: /tmp/portfolio-feature-audit/postfix/projects/catalog-audit.json; /tmp/portfolio-feature-audit/postfix/projects/interaction-evidence.md</t>
        </is>
      </c>
      <c r="S37" s="13" t="inlineStr"/>
      <c r="T37" s="13" t="inlineStr">
        <is>
          <t>Unassigned</t>
        </is>
      </c>
      <c r="U37" s="18" t="n">
        <v>46257</v>
      </c>
      <c r="V37" s="18" t="n">
        <v>46257.6050925926</v>
      </c>
    </row>
    <row r="38">
      <c r="A38" s="13" t="inlineStr">
        <is>
          <t>PF-PROJ-009</t>
        </is>
      </c>
      <c r="B38" s="13" t="inlineStr">
        <is>
          <t>Code Inventory</t>
        </is>
      </c>
      <c r="C38" s="13" t="inlineStr">
        <is>
          <t>/projects inline case study</t>
        </is>
      </c>
      <c r="D38" s="13" t="inlineStr">
        <is>
          <t>Visitor</t>
        </is>
      </c>
      <c r="E38" s="13" t="inlineStr">
        <is>
          <t>As a visitor, I want deeper context without leaving the archive.</t>
        </is>
      </c>
      <c r="F38" s="13" t="inlineStr">
        <is>
          <t>Project article visible.</t>
        </is>
      </c>
      <c r="G38" s="13" t="inlineStr">
        <is>
          <t>Expand its Case study summary.</t>
        </is>
      </c>
      <c r="H38" s="13" t="inlineStr">
        <is>
          <t>Reveal Challenge, Approach, and Impact; chevron rotates on open.</t>
        </is>
      </c>
      <c r="I38" s="13" t="inlineStr">
        <is>
          <t>Native details/summary; 44px summary; screen-only title disambiguates project; three columns at sm.</t>
        </is>
      </c>
      <c r="J38" s="13" t="inlineStr">
        <is>
          <t>src/components/ProjectExplorer.tsx:175-218</t>
        </is>
      </c>
      <c r="K38" s="13" t="inlineStr">
        <is>
          <t>src/components/__tests__/ProjectExplorer.test.tsx:138-162; e2e/projects.spec.ts:16-23</t>
        </is>
      </c>
      <c r="L38" s="13" t="inlineStr">
        <is>
          <t>Active</t>
        </is>
      </c>
      <c r="M38" s="13" t="inlineStr">
        <is>
          <t>Pass</t>
        </is>
      </c>
      <c r="N38" s="13" t="inlineStr">
        <is>
          <t>Pass — All seven opened by pointer with project-specific three-part content; each also opened with Enter and closed with Space; summaries measured 44px and stayed focused. Evidence: /tmp/portfolio-feature-audit/baseline/projects/interaction-evidence.md; /tmp/portfolio-feature-audit/baseline/projects/interactions/all-case-studies-pointer-open.png; /tmp/portfolio-feature-audit/baseline/projects/768/case-study-open.png</t>
        </is>
      </c>
      <c r="O38" s="13" t="inlineStr">
        <is>
          <t>DESIGN-AI-001</t>
        </is>
      </c>
      <c r="P38" s="13" t="inlineStr">
        <is>
          <t>Won't Fix</t>
        </is>
      </c>
      <c r="Q38" s="13" t="inlineStr">
        <is>
          <t>Pass</t>
        </is>
      </c>
      <c r="R38" s="13" t="inlineStr">
        <is>
          <t>Pass — At 390, exact 768, and 1440 all seven opened by pointer, revealed all three nonempty project-specific parts, opened with Enter, closed with Space, measured 44px, and retained focus. Evidence: /tmp/portfolio-feature-audit/postfix/projects/interaction-evidence.md; /tmp/portfolio-feature-audit/postfix/projects/interactions/all-case-studies-pointer-open.png; /tmp/portfolio-feature-audit/postfix/projects/768/case-studies-open.png</t>
        </is>
      </c>
      <c r="S38" s="13" t="inlineStr"/>
      <c r="T38" s="13" t="inlineStr">
        <is>
          <t>Unassigned</t>
        </is>
      </c>
      <c r="U38" s="18" t="n">
        <v>46257</v>
      </c>
      <c r="V38" s="18" t="n">
        <v>46257.6050925926</v>
      </c>
    </row>
    <row r="39">
      <c r="A39" s="13" t="inlineStr">
        <is>
          <t>PF-PROJ-010</t>
        </is>
      </c>
      <c r="B39" s="13" t="inlineStr">
        <is>
          <t>Code Inventory</t>
        </is>
      </c>
      <c r="C39" s="13" t="inlineStr">
        <is>
          <t>/projects empty state/reset</t>
        </is>
      </c>
      <c r="D39" s="13" t="inlineStr">
        <is>
          <t>Visitor</t>
        </is>
      </c>
      <c r="E39" s="13" t="inlineStr">
        <is>
          <t>As a visitor, I want recovery when a category has no matches.</t>
        </is>
      </c>
      <c r="F39" s="13" t="inlineStr">
        <is>
          <t>Active filter has zero projects.</t>
        </is>
      </c>
      <c r="G39" s="13" t="inlineStr">
        <is>
          <t>Read empty state or activate “Show all projects.”</t>
        </is>
      </c>
      <c r="H39" s="13" t="inlineStr">
        <is>
          <t>Show no-match explanation and reset to All.</t>
        </is>
      </c>
      <c r="I39" s="13" t="inlineStr">
        <is>
          <t>Semantic heading; 44px reset button; count announcement remains live.</t>
        </is>
      </c>
      <c r="J39" s="13" t="inlineStr">
        <is>
          <t>src/components/ProjectExplorer.tsx:222-241</t>
        </is>
      </c>
      <c r="K39" s="13" t="inlineStr">
        <is>
          <t>src/components/__tests__/ProjectExplorer.test.tsx:94-112</t>
        </is>
      </c>
      <c r="L39" s="13" t="inlineStr">
        <is>
          <t>Active</t>
        </is>
      </c>
      <c r="M39" s="13" t="inlineStr">
        <is>
          <t>Blocked</t>
        </is>
      </c>
      <c r="N39" s="13" t="inlineStr">
        <is>
          <t>Blocked — All three fixed categories contain at least one project and there is no user-entered category or URL filter, so the zero-result precondition and reset control are unreachable in the shipped browser UI without changing/injecting app data. Evidence: /tmp/portfolio-feature-audit/baseline/projects/interaction-evidence.md</t>
        </is>
      </c>
      <c r="O39" s="13" t="n"/>
      <c r="P39" s="13" t="inlineStr">
        <is>
          <t>Deferred</t>
        </is>
      </c>
      <c r="Q39" s="13" t="inlineStr">
        <is>
          <t>Blocked</t>
        </is>
      </c>
      <c r="R39" s="13" t="inlineStr">
        <is>
          <t>Blocked — Studio has 1 project and Client/Product each have 3. There is no free-form or URL filter, so no shipped interaction produces zero results without changing or injecting app data. Evidence: /tmp/portfolio-feature-audit/postfix/projects/interaction-evidence.md</t>
        </is>
      </c>
      <c r="S39" s="13" t="inlineStr"/>
      <c r="T39" s="13" t="inlineStr">
        <is>
          <t>Unassigned</t>
        </is>
      </c>
      <c r="U39" s="18" t="n">
        <v>46257</v>
      </c>
      <c r="V39" s="18" t="n">
        <v>46257.6050925926</v>
      </c>
    </row>
    <row r="40">
      <c r="A40" s="13" t="inlineStr">
        <is>
          <t>PF-PROJ-011</t>
        </is>
      </c>
      <c r="B40" s="13" t="inlineStr">
        <is>
          <t>Code Inventory</t>
        </is>
      </c>
      <c r="C40" s="13" t="inlineStr">
        <is>
          <t>Project catalog: Defendre Solutions</t>
        </is>
      </c>
      <c r="D40" s="13" t="inlineStr">
        <is>
          <t>Visitor</t>
        </is>
      </c>
      <c r="E40" s="13" t="inlineStr">
        <is>
          <t>As a visitor, I want complete studio proof with a lazy, automatic-priority preview.</t>
        </is>
      </c>
      <c r="F40" s="13" t="inlineStr">
        <is>
          <t>All/Studio visible.</t>
        </is>
      </c>
      <c r="G40" s="13" t="inlineStr">
        <is>
          <t>Open “Visit studio.”</t>
        </is>
      </c>
      <c r="H40" s="13" t="inlineStr">
        <is>
          <t>Card exposes Studio, 2026, Live, role/outcome/case study/tags and opens https://defendresolutions.com; its below-fold preview uses loading=lazy and fetchPriority=auto.</t>
        </is>
      </c>
      <c r="I40" s="13" t="inlineStr">
        <is>
          <t>Common card/accessibility rules apply; responsive optimized preview stays lazy/auto unless a future route explicitly opts into priority for a genuinely above-fold image.</t>
        </is>
      </c>
      <c r="J40" s="13" t="inlineStr">
        <is>
          <t>src/data/projects.ts; src/components/ProjectCard.tsx; public/static-home.c41be0f179ce2c85.html</t>
        </is>
      </c>
      <c r="K40" s="13" t="inlineStr">
        <is>
          <t>src/data/__tests__/projects.test.ts; src/components/__tests__/ProjectCard.test.tsx; scripts/check-static-home-assets.node-test.mjs; e2e/accessibility.spec.ts</t>
        </is>
      </c>
      <c r="L40" s="13" t="inlineStr">
        <is>
          <t>Active</t>
        </is>
      </c>
      <c r="M40" s="13" t="inlineStr">
        <is>
          <t>Pass</t>
        </is>
      </c>
      <c r="N40" s="13" t="inlineStr">
        <is>
          <t>Pass — All expected metadata, role/outcome/tags/case study, CTA, and https://www.defendresolutions.com/ destination were present. Evidence: /tmp/portfolio-feature-audit/baseline/projects/interaction-evidence.md; /tmp/portfolio-feature-audit/baseline/projects/1440/projects-all-full.png</t>
        </is>
      </c>
      <c r="O40" s="13" t="inlineStr">
        <is>
          <t>PERF-IMG-001</t>
        </is>
      </c>
      <c r="P40" s="13" t="inlineStr">
        <is>
          <t>Fixed</t>
        </is>
      </c>
      <c r="Q40" s="13" t="inlineStr">
        <is>
          <t>Pass</t>
        </is>
      </c>
      <c r="R40" s="13" t="inlineStr">
        <is>
          <t>Pass — Intentional PERF-IMG-001 contract reconciliation: every studio-content, CTA, case-study, accessible-name, and destination check passed. The raw lane reported Fail solely because the old contract still required a priority image; observed loading=lazy, fetchPriority=auto, and no image preload now satisfy the repaired contract. Raw lane preservation: status=Fail under the superseded priority-image contract; raw actual: All content, CTA, case study, accessible name, and https://defendresolutions.com destination passed, but the canonical story still requires a priority image while the repaired runtime now intentionally reports loading=lazy and fetchPriority=auto with no image preload. Evidence: /tmp/portfolio-feature-audit/postfix/projects/catalog-audit.json; /tmp/portfolio-feature-audit/postfix/projects/candidate-evidence.md</t>
        </is>
      </c>
      <c r="S40" s="13" t="inlineStr">
        <is>
          <t>Intentional 2026-08-23 contract update tied to PERF-IMG-001. The former priority-image phrase was superseded because this catalog preview is below fold. Raw post-fix Projects evidence is preserved; its Fail represented the stale contract, while observed lazy/auto/no-preload behavior is the repaired requirement.</t>
        </is>
      </c>
      <c r="T40" s="13" t="inlineStr">
        <is>
          <t>Unassigned</t>
        </is>
      </c>
      <c r="U40" s="18" t="n">
        <v>46257</v>
      </c>
      <c r="V40" s="18" t="n">
        <v>46257.6050925926</v>
      </c>
    </row>
    <row r="41">
      <c r="A41" s="13" t="inlineStr">
        <is>
          <t>PF-PROJ-012</t>
        </is>
      </c>
      <c r="B41" s="13" t="inlineStr">
        <is>
          <t>Code Inventory</t>
        </is>
      </c>
      <c r="C41" s="13" t="inlineStr">
        <is>
          <t>Project catalog: FreeVoiceTranscribe</t>
        </is>
      </c>
      <c r="D41" s="13" t="inlineStr">
        <is>
          <t>Visitor</t>
        </is>
      </c>
      <c r="E41" s="13" t="inlineStr">
        <is>
          <t>As a visitor, I want local dictation product proof.</t>
        </is>
      </c>
      <c r="F41" s="13" t="inlineStr">
        <is>
          <t>All/Product visible.</t>
        </is>
      </c>
      <c r="G41" s="13" t="inlineStr">
        <is>
          <t>Open “View on GitHub.”</t>
        </is>
      </c>
      <c r="H41" s="13" t="inlineStr">
        <is>
          <t>Show 2026 Live product details and open https://github.com/Sdefendre/freevoicetranscribe.</t>
        </is>
      </c>
      <c r="I41" s="13" t="inlineStr">
        <is>
          <t>Common card/accessibility rules apply.</t>
        </is>
      </c>
      <c r="J41" s="13" t="inlineStr">
        <is>
          <t>src/data/projects.ts:34-42</t>
        </is>
      </c>
      <c r="K41" s="13" t="inlineStr">
        <is>
          <t>src/data/__tests__/projects.test.ts:14-134</t>
        </is>
      </c>
      <c r="L41" s="13" t="inlineStr">
        <is>
          <t>Active</t>
        </is>
      </c>
      <c r="M41" s="13" t="inlineStr">
        <is>
          <t>Pass</t>
        </is>
      </c>
      <c r="N41" s="13" t="inlineStr">
        <is>
          <t>Pass — All expected content and https://github.com/Sdefendre/freevoicetranscribe destination were present. Evidence: /tmp/portfolio-feature-audit/baseline/projects/interaction-evidence.md; /tmp/portfolio-feature-audit/baseline/projects/1440/projects-all-full.png</t>
        </is>
      </c>
      <c r="O41" s="13" t="n"/>
      <c r="P41" s="13" t="inlineStr">
        <is>
          <t>Not Started</t>
        </is>
      </c>
      <c r="Q41" s="13" t="inlineStr">
        <is>
          <t>Pass</t>
        </is>
      </c>
      <c r="R41" s="13" t="inlineStr">
        <is>
          <t>Pass — Catalog details, complete case study, CTA/new-tab name, and https://github.com/Sdefendre/freevoicetranscribe destination matched. Evidence: /tmp/portfolio-feature-audit/postfix/projects/catalog-audit.json</t>
        </is>
      </c>
      <c r="S41" s="13" t="inlineStr"/>
      <c r="T41" s="13" t="inlineStr">
        <is>
          <t>Unassigned</t>
        </is>
      </c>
      <c r="U41" s="18" t="n">
        <v>46257</v>
      </c>
      <c r="V41" s="18" t="n">
        <v>46257.6050925926</v>
      </c>
    </row>
    <row r="42">
      <c r="A42" s="13" t="inlineStr">
        <is>
          <t>PF-PROJ-013</t>
        </is>
      </c>
      <c r="B42" s="13" t="inlineStr">
        <is>
          <t>Code Inventory</t>
        </is>
      </c>
      <c r="C42" s="13" t="inlineStr">
        <is>
          <t>Project catalog: BraidsbyRose</t>
        </is>
      </c>
      <c r="D42" s="13" t="inlineStr">
        <is>
          <t>Visitor</t>
        </is>
      </c>
      <c r="E42" s="13" t="inlineStr">
        <is>
          <t>As a visitor, I want client booking-site proof.</t>
        </is>
      </c>
      <c r="F42" s="13" t="inlineStr">
        <is>
          <t>All/Client visible.</t>
        </is>
      </c>
      <c r="G42" s="13" t="inlineStr">
        <is>
          <t>Open “View booking site.”</t>
        </is>
      </c>
      <c r="H42" s="13" t="inlineStr">
        <is>
          <t>Show 2026 Live client details and open https://braidsbyrose.com.</t>
        </is>
      </c>
      <c r="I42" s="13" t="inlineStr">
        <is>
          <t>Common card/accessibility rules apply.</t>
        </is>
      </c>
      <c r="J42" s="13" t="inlineStr">
        <is>
          <t>src/data/projects.ts:43-51</t>
        </is>
      </c>
      <c r="K42" s="13" t="inlineStr">
        <is>
          <t>src/data/__tests__/projects.test.ts:14-134; client-count E2E e2e/projects.spec.ts:11-15</t>
        </is>
      </c>
      <c r="L42" s="13" t="inlineStr">
        <is>
          <t>Active</t>
        </is>
      </c>
      <c r="M42" s="13" t="inlineStr">
        <is>
          <t>Pass</t>
        </is>
      </c>
      <c r="N42" s="13" t="inlineStr">
        <is>
          <t>Pass — All expected content and https://www.braidsbyrose.com/ destination were present. Evidence: /tmp/portfolio-feature-audit/baseline/projects/interaction-evidence.md; /tmp/portfolio-feature-audit/baseline/projects/1440/projects-all-full.png</t>
        </is>
      </c>
      <c r="O42" s="13" t="n"/>
      <c r="P42" s="13" t="inlineStr">
        <is>
          <t>Not Started</t>
        </is>
      </c>
      <c r="Q42" s="13" t="inlineStr">
        <is>
          <t>Pass</t>
        </is>
      </c>
      <c r="R42" s="13" t="inlineStr">
        <is>
          <t>Pass — Catalog details, complete case study, CTA/new-tab name, and https://www.braidsbyrose.com/ destination matched. Evidence: /tmp/portfolio-feature-audit/postfix/projects/catalog-audit.json</t>
        </is>
      </c>
      <c r="S42" s="13" t="inlineStr"/>
      <c r="T42" s="13" t="inlineStr">
        <is>
          <t>Unassigned</t>
        </is>
      </c>
      <c r="U42" s="18" t="n">
        <v>46257</v>
      </c>
      <c r="V42" s="18" t="n">
        <v>46257.6050925926</v>
      </c>
    </row>
    <row r="43">
      <c r="A43" s="13" t="inlineStr">
        <is>
          <t>PF-PROJ-014</t>
        </is>
      </c>
      <c r="B43" s="13" t="inlineStr">
        <is>
          <t>Code Inventory</t>
        </is>
      </c>
      <c r="C43" s="13" t="inlineStr">
        <is>
          <t>Project catalog: Traces</t>
        </is>
      </c>
      <c r="D43" s="13" t="inlineStr">
        <is>
          <t>Visitor</t>
        </is>
      </c>
      <c r="E43" s="13" t="inlineStr">
        <is>
          <t>As a visitor, I want desktop knowledge-product proof.</t>
        </is>
      </c>
      <c r="F43" s="13" t="inlineStr">
        <is>
          <t>All/Product visible.</t>
        </is>
      </c>
      <c r="G43" s="13" t="inlineStr">
        <is>
          <t>Open “View on GitHub.”</t>
        </is>
      </c>
      <c r="H43" s="13" t="inlineStr">
        <is>
          <t>Show 2026 Prototype details and open https://github.com/Sdefendre/traces-app.</t>
        </is>
      </c>
      <c r="I43" s="13" t="inlineStr">
        <is>
          <t>Prototype is text-labelled/amber, not color-only.</t>
        </is>
      </c>
      <c r="J43" s="13" t="inlineStr">
        <is>
          <t>src/data/projects.ts:52-60</t>
        </is>
      </c>
      <c r="K43" s="13" t="inlineStr">
        <is>
          <t>src/data/__tests__/projects.test.ts:14-134; status tests src/components/__tests__/ProjectCard.test.tsx:30-44</t>
        </is>
      </c>
      <c r="L43" s="13" t="inlineStr">
        <is>
          <t>Active</t>
        </is>
      </c>
      <c r="M43" s="13" t="inlineStr">
        <is>
          <t>Fail</t>
        </is>
      </c>
      <c r="N43" s="13" t="inlineStr">
        <is>
          <t>Fail — Visible Prototype labels and GitHub destination were correct, but the image alt contradicted the status by calling it a live project preview. Evidence: /tmp/portfolio-feature-audit/baseline/projects/1440/projects-all-full.png; /tmp/portfolio-feature-audit/baseline/projects/interaction-evidence.md</t>
        </is>
      </c>
      <c r="O43" s="13" t="inlineStr">
        <is>
          <t>A11Y-IMG-001</t>
        </is>
      </c>
      <c r="P43" s="13" t="inlineStr">
        <is>
          <t>Fixed</t>
        </is>
      </c>
      <c r="Q43" s="13" t="inlineStr">
        <is>
          <t>Pass</t>
        </is>
      </c>
      <c r="R43" s="13" t="inlineStr">
        <is>
          <t>Pass — Visible/textual Prototype status, complete content/case study, concise status-neutral alt, CTA/new-tab name, and https://github.com/Sdefendre/traces-app destination all matched. Evidence: /tmp/portfolio-feature-audit/postfix/projects/catalog-audit.json; /tmp/portfolio-feature-audit/postfix/projects/candidate-evidence.md</t>
        </is>
      </c>
      <c r="S43" s="13" t="inlineStr"/>
      <c r="T43" s="13" t="inlineStr">
        <is>
          <t>Unassigned</t>
        </is>
      </c>
      <c r="U43" s="18" t="n">
        <v>46257</v>
      </c>
      <c r="V43" s="18" t="n">
        <v>46257.6050925926</v>
      </c>
    </row>
    <row r="44">
      <c r="A44" s="13" t="inlineStr">
        <is>
          <t>PF-PROJ-016</t>
        </is>
      </c>
      <c r="B44" s="13" t="inlineStr">
        <is>
          <t>Code Inventory</t>
        </is>
      </c>
      <c r="C44" s="13" t="inlineStr">
        <is>
          <t>Project catalog: Velocity Care LLC</t>
        </is>
      </c>
      <c r="D44" s="13" t="inlineStr">
        <is>
          <t>Visitor</t>
        </is>
      </c>
      <c r="E44" s="13" t="inlineStr">
        <is>
          <t>As a visitor, I want healthcare-practice proof.</t>
        </is>
      </c>
      <c r="F44" s="13" t="inlineStr">
        <is>
          <t>All/Client visible.</t>
        </is>
      </c>
      <c r="G44" s="13" t="inlineStr">
        <is>
          <t>Open “Visit healthcare site.”</t>
        </is>
      </c>
      <c r="H44" s="13" t="inlineStr">
        <is>
          <t>Show 2026 Live client details and open https://velocitycarellc.com.</t>
        </is>
      </c>
      <c r="I44" s="13" t="inlineStr">
        <is>
          <t>Common card/accessibility rules apply.</t>
        </is>
      </c>
      <c r="J44" s="13" t="inlineStr">
        <is>
          <t>src/data/projects.ts:70-78</t>
        </is>
      </c>
      <c r="K44" s="13" t="inlineStr">
        <is>
          <t>src/data/__tests__/projects.test.ts:14-134; client-count E2E e2e/projects.spec.ts:11-15</t>
        </is>
      </c>
      <c r="L44" s="13" t="inlineStr">
        <is>
          <t>Active</t>
        </is>
      </c>
      <c r="M44" s="13" t="inlineStr">
        <is>
          <t>Pass</t>
        </is>
      </c>
      <c r="N44" s="13" t="inlineStr">
        <is>
          <t>Pass — All expected content and https://www.velocitycarellc.com/ destination were present. Evidence: /tmp/portfolio-feature-audit/baseline/projects/interaction-evidence.md; /tmp/portfolio-feature-audit/baseline/projects/1440/projects-all-full.png</t>
        </is>
      </c>
      <c r="O44" s="13" t="n"/>
      <c r="P44" s="13" t="inlineStr">
        <is>
          <t>Not Started</t>
        </is>
      </c>
      <c r="Q44" s="13" t="inlineStr">
        <is>
          <t>Pass</t>
        </is>
      </c>
      <c r="R44" s="13" t="inlineStr">
        <is>
          <t>Pass — Catalog details, complete case study, CTA/new-tab name, and https://www.velocitycarellc.com/ destination matched. Evidence: /tmp/portfolio-feature-audit/postfix/projects/catalog-audit.json</t>
        </is>
      </c>
      <c r="S44" s="13" t="inlineStr"/>
      <c r="T44" s="13" t="inlineStr">
        <is>
          <t>Unassigned</t>
        </is>
      </c>
      <c r="U44" s="18" t="n">
        <v>46257</v>
      </c>
      <c r="V44" s="18" t="n">
        <v>46257.6050925926</v>
      </c>
    </row>
    <row r="45">
      <c r="A45" s="13" t="inlineStr">
        <is>
          <t>PF-PROJ-017</t>
        </is>
      </c>
      <c r="B45" s="13" t="inlineStr">
        <is>
          <t>Code Inventory</t>
        </is>
      </c>
      <c r="C45" s="13" t="inlineStr">
        <is>
          <t>Project catalog: Command.AI</t>
        </is>
      </c>
      <c r="D45" s="13" t="inlineStr">
        <is>
          <t>Visitor</t>
        </is>
      </c>
      <c r="E45" s="13" t="inlineStr">
        <is>
          <t>As a visitor, I want veteran-platform product proof.</t>
        </is>
      </c>
      <c r="F45" s="13" t="inlineStr">
        <is>
          <t>All/Product visible.</t>
        </is>
      </c>
      <c r="G45" s="13" t="inlineStr">
        <is>
          <t>Open “Open platform.”</t>
        </is>
      </c>
      <c r="H45" s="13" t="inlineStr">
        <is>
          <t>Show 2026 Live product details and open https://trycommand.vercel.app.</t>
        </is>
      </c>
      <c r="I45" s="13" t="inlineStr">
        <is>
          <t>Common card/accessibility rules apply.</t>
        </is>
      </c>
      <c r="J45" s="13" t="inlineStr">
        <is>
          <t>src/data/projects.ts:79-87</t>
        </is>
      </c>
      <c r="K45" s="13" t="inlineStr">
        <is>
          <t>src/data/__tests__/projects.test.ts:14-134</t>
        </is>
      </c>
      <c r="L45" s="13" t="inlineStr">
        <is>
          <t>Active</t>
        </is>
      </c>
      <c r="M45" s="13" t="inlineStr">
        <is>
          <t>Pass</t>
        </is>
      </c>
      <c r="N45" s="13" t="inlineStr">
        <is>
          <t>Pass — All expected content and https://trycommand.vercel.app/ destination were present. Evidence: /tmp/portfolio-feature-audit/baseline/projects/interaction-evidence.md; /tmp/portfolio-feature-audit/baseline/projects/1440/projects-all-full.png</t>
        </is>
      </c>
      <c r="O45" s="13" t="n"/>
      <c r="P45" s="13" t="inlineStr">
        <is>
          <t>Not Started</t>
        </is>
      </c>
      <c r="Q45" s="13" t="inlineStr">
        <is>
          <t>Pass</t>
        </is>
      </c>
      <c r="R45" s="13" t="inlineStr">
        <is>
          <t>Pass — Catalog details, complete case study, CTA/new-tab name, and https://trycommand.vercel.app/ destination matched and opened in a new tab. Evidence: /tmp/portfolio-feature-audit/postfix/projects/catalog-audit.json; /tmp/portfolio-feature-audit/postfix/projects/interaction-evidence.md</t>
        </is>
      </c>
      <c r="S45" s="13" t="inlineStr"/>
      <c r="T45" s="13" t="inlineStr">
        <is>
          <t>Unassigned</t>
        </is>
      </c>
      <c r="U45" s="18" t="n">
        <v>46257</v>
      </c>
      <c r="V45" s="18" t="n">
        <v>46257.6050925926</v>
      </c>
    </row>
    <row r="46">
      <c r="A46" s="13" t="inlineStr">
        <is>
          <t>PF-CONTACT-001</t>
        </is>
      </c>
      <c r="B46" s="13" t="inlineStr">
        <is>
          <t>Code Inventory</t>
        </is>
      </c>
      <c r="C46" s="13" t="inlineStr">
        <is>
          <t>/contact route metadata</t>
        </is>
      </c>
      <c r="D46" s="13" t="inlineStr">
        <is>
          <t>Search/social crawler</t>
        </is>
      </c>
      <c r="E46" s="13" t="inlineStr">
        <is>
          <t>As a crawler, I want project-inquiry metadata.</t>
        </is>
      </c>
      <c r="F46" s="13" t="inlineStr">
        <is>
          <t>Contact route requested.</t>
        </is>
      </c>
      <c r="G46" s="13" t="inlineStr">
        <is>
          <t>Parse metadata.</t>
        </is>
      </c>
      <c r="H46" s="13" t="inlineStr">
        <is>
          <t>Use Contact title/description, canonical /contact, and matching Open Graph URL/content.</t>
        </is>
      </c>
      <c r="I46" s="13" t="inlineStr">
        <is>
          <t>No visual behavior.</t>
        </is>
      </c>
      <c r="J46" s="13" t="inlineStr">
        <is>
          <t>src/app/(site)/contact/page.tsx:11-24</t>
        </is>
      </c>
      <c r="K46" s="13" t="inlineStr">
        <is>
          <t>src/app/(site)/contact/page.test.tsx:60-66</t>
        </is>
      </c>
      <c r="L46" s="13" t="inlineStr">
        <is>
          <t>Active</t>
        </is>
      </c>
      <c r="M46" s="13" t="inlineStr">
        <is>
          <t>Pass</t>
        </is>
      </c>
      <c r="N46" s="13" t="inlineStr">
        <is>
          <t>Pass — Content/path matched locally and public canonical/OG consistently used the production origin. Evidence: /tmp/portfolio-feature-audit/baseline/contact-system/system-evidence.md; /tmp/portfolio-feature-audit/baseline/contact-system/390/contact-full.png</t>
        </is>
      </c>
      <c r="O46" s="13" t="inlineStr">
        <is>
          <t>CAND-RUNTIME-METADATA-001</t>
        </is>
      </c>
      <c r="P46" s="13" t="inlineStr">
        <is>
          <t>Won't Fix</t>
        </is>
      </c>
      <c r="Q46" s="13" t="inlineStr">
        <is>
          <t>Pass</t>
        </is>
      </c>
      <c r="R46" s="13" t="inlineStr">
        <is>
          <t>Pass — Contact returned 200 with route-specific title, description, canonical path, Open Graph URL, and expected content; local absolute URLs use the documented no-env localhost fallback. Evidence: /tmp/portfolio-feature-audit/postfix/contact-system/contact-390-initial.png; /tmp/portfolio-feature-audit/postfix/integration-report.md</t>
        </is>
      </c>
      <c r="S46" s="13" t="inlineStr"/>
      <c r="T46" s="13" t="inlineStr">
        <is>
          <t>Unassigned</t>
        </is>
      </c>
      <c r="U46" s="18" t="n">
        <v>46257</v>
      </c>
      <c r="V46" s="18" t="n">
        <v>46257.6050925926</v>
      </c>
    </row>
    <row r="47">
      <c r="A47" s="13" t="inlineStr">
        <is>
          <t>PF-CONTACT-002</t>
        </is>
      </c>
      <c r="B47" s="13" t="inlineStr">
        <is>
          <t>Code Inventory</t>
        </is>
      </c>
      <c r="C47" s="13" t="inlineStr">
        <is>
          <t>/contact primary inquiry</t>
        </is>
      </c>
      <c r="D47" s="13" t="inlineStr">
        <is>
          <t>Prospect</t>
        </is>
      </c>
      <c r="E47" s="13" t="inlineStr">
        <is>
          <t>As a prospect, I want Steve’s direct email and availability.</t>
        </is>
      </c>
      <c r="F47" s="13" t="inlineStr">
        <is>
          <t>Primary contact record exists.</t>
        </is>
      </c>
      <c r="G47" s="13" t="inlineStr">
        <is>
          <t>Read primary contact panel.</t>
        </is>
      </c>
      <c r="H47" s="13" t="inlineStr">
        <is>
          <t>Show availability, email address, description, direct email CTA, and copy control.</t>
        </is>
      </c>
      <c r="I47" s="13" t="inlineStr">
        <is>
          <t>Large email wraps/breaks on mobile; labelled section; CTA stack switches to row at sm.</t>
        </is>
      </c>
      <c r="J47" s="13" t="inlineStr">
        <is>
          <t>src/app/(site)/contact/page.tsx:26-41,43-102; src/data/socials.ts:31-39</t>
        </is>
      </c>
      <c r="K47" s="13" t="inlineStr">
        <is>
          <t>src/app/(site)/contact/page.test.tsx:5-26; e2e/contact.spec.ts:31-44</t>
        </is>
      </c>
      <c r="L47" s="13" t="inlineStr">
        <is>
          <t>Active</t>
        </is>
      </c>
      <c r="M47" s="13" t="inlineStr">
        <is>
          <t>Pass</t>
        </is>
      </c>
      <c r="N47" s="13" t="inlineStr">
        <is>
          <t>Pass — All content and controls rendered; email wrapped without overflow and CTA stack adapted by breakpoint. Evidence: /tmp/portfolio-feature-audit/baseline/contact-system/1440/contact-full.png; /tmp/portfolio-feature-audit/baseline/contact-system/390/contact-full.png</t>
        </is>
      </c>
      <c r="O47" s="13" t="inlineStr">
        <is>
          <t>DESIGN-AI-001</t>
        </is>
      </c>
      <c r="P47" s="13" t="inlineStr">
        <is>
          <t>Won't Fix</t>
        </is>
      </c>
      <c r="Q47" s="13" t="inlineStr">
        <is>
          <t>Pass</t>
        </is>
      </c>
      <c r="R47" s="13" t="inlineStr">
        <is>
          <t>Pass — Primary inquiry, email, availability, direct CTA, and copy control rendered at 390, 768, and 1440 with no horizontal overflow and responsive CTA layout. Evidence: /tmp/portfolio-feature-audit/postfix/contact-system/contact-390-initial.png; /tmp/portfolio-feature-audit/postfix/contact-system/contact-768.png; /tmp/portfolio-feature-audit/postfix/contact-system/contact-1440-validation-copy-repeat.png</t>
        </is>
      </c>
      <c r="S47" s="13" t="inlineStr"/>
      <c r="T47" s="13" t="inlineStr">
        <is>
          <t>Unassigned</t>
        </is>
      </c>
      <c r="U47" s="18" t="n">
        <v>46257</v>
      </c>
      <c r="V47" s="18" t="n">
        <v>46257.6050925926</v>
      </c>
    </row>
    <row r="48">
      <c r="A48" s="13" t="inlineStr">
        <is>
          <t>PF-CONTACT-003</t>
        </is>
      </c>
      <c r="B48" s="13" t="inlineStr">
        <is>
          <t>Code Inventory</t>
        </is>
      </c>
      <c r="C48" s="13" t="inlineStr">
        <is>
          <t>/contact direct mailto</t>
        </is>
      </c>
      <c r="D48" s="13" t="inlineStr">
        <is>
          <t>Prospect</t>
        </is>
      </c>
      <c r="E48" s="13" t="inlineStr">
        <is>
          <t>As a prospect, I want to open a blank email to Steve.</t>
        </is>
      </c>
      <c r="F48" s="13" t="inlineStr">
        <is>
          <t>Mail client handles mailto:.</t>
        </is>
      </c>
      <c r="G48" s="13" t="inlineStr">
        <is>
          <t>Activate “Email Steve.”</t>
        </is>
      </c>
      <c r="H48" s="13" t="inlineStr">
        <is>
          <t>Open mailto:steve@defendresolutions.com.</t>
        </is>
      </c>
      <c r="I48" s="13" t="inlineStr">
        <is>
          <t>48px focusable CTA; safe-href validation.</t>
        </is>
      </c>
      <c r="J48" s="13" t="inlineStr">
        <is>
          <t>src/app/(site)/contact/page.tsx:91-100; src/data/socials.ts:31-39</t>
        </is>
      </c>
      <c r="K48" s="13" t="inlineStr">
        <is>
          <t>src/app/(site)/contact/page.test.tsx:5-26</t>
        </is>
      </c>
      <c r="L48" s="13" t="inlineStr">
        <is>
          <t>Active</t>
        </is>
      </c>
      <c r="M48" s="13" t="inlineStr">
        <is>
          <t>Pass</t>
        </is>
      </c>
      <c r="N48" s="13" t="inlineStr">
        <is>
          <t>Pass — Href and 48px geometry matched; handler launch was intentionally not invoked. Evidence: /tmp/portfolio-feature-audit/baseline/contact-system/contact-interactions.md; /tmp/portfolio-feature-audit/baseline/contact-system/snapshot-contact-390.txt</t>
        </is>
      </c>
      <c r="O48" s="13" t="n"/>
      <c r="P48" s="13" t="inlineStr">
        <is>
          <t>Not Started</t>
        </is>
      </c>
      <c r="Q48" s="13" t="inlineStr">
        <is>
          <t>Pass</t>
        </is>
      </c>
      <c r="R48" s="13" t="inlineStr">
        <is>
          <t>Pass — Email Steve retained mailto:steve@defendresolutions.com and a 48px desktop target; no real mail client was launched. Evidence: /tmp/portfolio-feature-audit/postfix/contact-system/lane-c-trace.zip</t>
        </is>
      </c>
      <c r="S48" s="13" t="inlineStr"/>
      <c r="T48" s="13" t="inlineStr">
        <is>
          <t>Unassigned</t>
        </is>
      </c>
      <c r="U48" s="18" t="n">
        <v>46257</v>
      </c>
      <c r="V48" s="18" t="n">
        <v>46257.6050925926</v>
      </c>
    </row>
    <row r="49">
      <c r="A49" s="13" t="inlineStr">
        <is>
          <t>PF-CONTACT-004</t>
        </is>
      </c>
      <c r="B49" s="13" t="inlineStr">
        <is>
          <t>Code Inventory</t>
        </is>
      </c>
      <c r="C49" s="13" t="inlineStr">
        <is>
          <t>/contact clipboard success</t>
        </is>
      </c>
      <c r="D49" s="13" t="inlineStr">
        <is>
          <t>Visitor</t>
        </is>
      </c>
      <c r="E49" s="13" t="inlineStr">
        <is>
          <t>As a visitor, I want to copy Steve’s email.</t>
        </is>
      </c>
      <c r="F49" s="13" t="inlineStr">
        <is>
          <t>Clipboard API available and permission granted.</t>
        </is>
      </c>
      <c r="G49" s="13" t="inlineStr">
        <is>
          <t>Activate “Copy email.”</t>
        </is>
      </c>
      <c r="H49" s="13" t="inlineStr">
        <is>
          <t>Write email; button becomes “Copied”; polite status announces full address; reset to idle after 2.5s.</t>
        </is>
      </c>
      <c r="I49" s="13" t="inlineStr">
        <is>
          <t>Accessible status association via aria-describedby; icons decorative.</t>
        </is>
      </c>
      <c r="J49" s="13" t="inlineStr">
        <is>
          <t>src/components/CopyEmailButton.tsx:15-45,47-84</t>
        </is>
      </c>
      <c r="K49" s="13" t="inlineStr">
        <is>
          <t>src/components/__tests__/CopyEmailButton.test.tsx:29-46; e2e/contact.spec.ts:31-44</t>
        </is>
      </c>
      <c r="L49" s="13" t="inlineStr">
        <is>
          <t>Active</t>
        </is>
      </c>
      <c r="M49" s="13" t="inlineStr">
        <is>
          <t>Pass</t>
        </is>
      </c>
      <c r="N49" s="13" t="inlineStr">
        <is>
          <t>Pass — Controlled clipboard success wrote the exact address, showed Copied/full polite status, then reset after 2.7s. Evidence: /tmp/portfolio-feature-audit/baseline/contact-system/interactions/copy-success.png; /tmp/portfolio-feature-audit/baseline/contact-system/contact-interactions.md</t>
        </is>
      </c>
      <c r="O49" s="13" t="n"/>
      <c r="P49" s="13" t="inlineStr">
        <is>
          <t>Not Started</t>
        </is>
      </c>
      <c r="Q49" s="13" t="inlineStr">
        <is>
          <t>Pass</t>
        </is>
      </c>
      <c r="R49" s="13" t="inlineStr">
        <is>
          <t>Pass — Controlled clipboard success wrote the exact address, announced success, changed the button to Copied, and reset after 2.6 seconds; exact-768 success also passed. Evidence: /tmp/portfolio-feature-audit/postfix/contact-system/contact-390-copy-success.png; /tmp/portfolio-feature-audit/postfix/contact-system/lane-c-trace.zip</t>
        </is>
      </c>
      <c r="S49" s="13" t="inlineStr"/>
      <c r="T49" s="13" t="inlineStr">
        <is>
          <t>Unassigned</t>
        </is>
      </c>
      <c r="U49" s="18" t="n">
        <v>46257</v>
      </c>
      <c r="V49" s="18" t="n">
        <v>46257.6050925926</v>
      </c>
    </row>
    <row r="50">
      <c r="A50" s="13" t="inlineStr">
        <is>
          <t>PF-CONTACT-005</t>
        </is>
      </c>
      <c r="B50" s="13" t="inlineStr">
        <is>
          <t>Code Inventory</t>
        </is>
      </c>
      <c r="C50" s="13" t="inlineStr">
        <is>
          <t>/contact clipboard failure</t>
        </is>
      </c>
      <c r="D50" s="13" t="inlineStr">
        <is>
          <t>Visitor</t>
        </is>
      </c>
      <c r="E50" s="13" t="inlineStr">
        <is>
          <t>As a visitor, I want recoverable feedback if copy fails.</t>
        </is>
      </c>
      <c r="F50" s="13" t="inlineStr">
        <is>
          <t>Clipboard API missing/rejects.</t>
        </is>
      </c>
      <c r="G50" s="13" t="inlineStr">
        <is>
          <t>Activate copy.</t>
        </is>
      </c>
      <c r="H50" s="13" t="inlineStr">
        <is>
          <t>Button becomes “Try copy again” and status advises manual selection; no alert dialog.</t>
        </is>
      </c>
      <c r="I50" s="13" t="inlineStr">
        <is>
          <t>Polite live status; amber icon plus text.</t>
        </is>
      </c>
      <c r="J50" s="13" t="inlineStr">
        <is>
          <t>src/components/CopyEmailButton.tsx:28-53,63-84</t>
        </is>
      </c>
      <c r="K50" s="13" t="inlineStr">
        <is>
          <t>src/components/__tests__/CopyEmailButton.test.tsx:48-63</t>
        </is>
      </c>
      <c r="L50" s="13" t="inlineStr">
        <is>
          <t>Active</t>
        </is>
      </c>
      <c r="M50" s="13" t="inlineStr">
        <is>
          <t>Fail</t>
        </is>
      </c>
      <c r="N50" s="13" t="inlineStr">
        <is>
          <t>Fail — First failure showed Try copy again/manual guidance, but the second failure produced no live-region mutation or re-announcement. Evidence: /tmp/portfolio-feature-audit/baseline/contact-system/interactions/copy-failure-repeat.png; /tmp/portfolio-feature-audit/baseline/contact-system/contact-interactions.md</t>
        </is>
      </c>
      <c r="O50" s="13" t="inlineStr">
        <is>
          <t>A11Y-CLIP-001</t>
        </is>
      </c>
      <c r="P50" s="13" t="inlineStr">
        <is>
          <t>Fixed</t>
        </is>
      </c>
      <c r="Q50" s="13" t="inlineStr">
        <is>
          <t>Pass</t>
        </is>
      </c>
      <c r="R50" s="13" t="inlineStr">
        <is>
          <t>Pass — Controlled consecutive failures produced truthful recovery guidance and distinct polite live-region text for attempts 1 and 2 at 390 and 1440. Evidence: /tmp/portfolio-feature-audit/postfix/contact-system/contact-390-copy-failure-repeat.png; /tmp/portfolio-feature-audit/postfix/contact-system/contact-1440-validation-copy-repeat.png</t>
        </is>
      </c>
      <c r="S50" s="13" t="inlineStr"/>
      <c r="T50" s="13" t="inlineStr">
        <is>
          <t>Unassigned</t>
        </is>
      </c>
      <c r="U50" s="18" t="n">
        <v>46257</v>
      </c>
      <c r="V50" s="18" t="n">
        <v>46257.6050925926</v>
      </c>
    </row>
    <row r="51">
      <c r="A51" s="13" t="inlineStr">
        <is>
          <t>PF-CONTACT-006</t>
        </is>
      </c>
      <c r="B51" s="13" t="inlineStr">
        <is>
          <t>Code Inventory</t>
        </is>
      </c>
      <c r="C51" s="13" t="inlineStr">
        <is>
          <t>/contact draft fields/options</t>
        </is>
      </c>
      <c r="D51" s="13" t="inlineStr">
        <is>
          <t>Prospect</t>
        </is>
      </c>
      <c r="E51" s="13" t="inlineStr">
        <is>
          <t>As a prospect, I want to structure an inquiry.</t>
        </is>
      </c>
      <c r="F51" s="13" t="inlineStr">
        <is>
          <t>Contact composer rendered.</t>
        </is>
      </c>
      <c r="G51" s="13" t="inlineStr">
        <is>
          <t>Enter name/email/message and choose project type/budget.</t>
        </is>
      </c>
      <c r="H51" s="13" t="inlineStr">
        <is>
          <t>Offer project types: New website, Portfolio refresh, Cleanup or rescue, Internal tool, Something else; budgets: Under $5k, $5k-$10k, $10k-$25k, $25k+, Not sure yet.</t>
        </is>
      </c>
      <c r="I51" s="13" t="inlineStr">
        <is>
          <t>Labels, required markers, hints, autocomplete/inputMode; two columns at md, message spans both.</t>
        </is>
      </c>
      <c r="J51" s="13" t="inlineStr">
        <is>
          <t>src/components/ContactComposer.tsx:10-49,178-273</t>
        </is>
      </c>
      <c r="K51" s="13" t="inlineStr">
        <is>
          <t>src/components/__tests__/ContactComposer.test.tsx:16-38; e2e/contact.spec.ts:46-71</t>
        </is>
      </c>
      <c r="L51" s="13" t="inlineStr">
        <is>
          <t>Active</t>
        </is>
      </c>
      <c r="M51" s="13" t="inlineStr">
        <is>
          <t>Fail</t>
        </is>
      </c>
      <c r="N51" s="13" t="inlineStr">
        <is>
          <t>Fail — Fields/options and md form columns passed, but the desktop sticky explainer moved beneath the fixed dock with 74.41px overlap at 1440px. Evidence: /tmp/portfolio-feature-audit/baseline/contact-system/1440/sticky-overlap.png; /tmp/portfolio-feature-audit/baseline/contact-system/contact-interactions.md</t>
        </is>
      </c>
      <c r="O51" s="13" t="inlineStr">
        <is>
          <t>UX-CONTACT-002; RESP-CONTACT-001</t>
        </is>
      </c>
      <c r="P51" s="13" t="inlineStr">
        <is>
          <t>Fixed</t>
        </is>
      </c>
      <c r="Q51" s="13" t="inlineStr">
        <is>
          <t>Pass</t>
        </is>
      </c>
      <c r="R51" s="13" t="inlineStr">
        <is>
          <t>Pass — Correct fields/options and responsive columns rendered. Exact 768 used two columns; pinned 1440x700 explainer had 52px dock clearance and zero overlap. Evidence: /tmp/portfolio-feature-audit/postfix/contact-system/contact-768.png; /tmp/portfolio-feature-audit/postfix/contact-system/contact-1440x700-sticky-pinned.png</t>
        </is>
      </c>
      <c r="S51" s="13" t="inlineStr"/>
      <c r="T51" s="13" t="inlineStr">
        <is>
          <t>Unassigned</t>
        </is>
      </c>
      <c r="U51" s="18" t="n">
        <v>46257</v>
      </c>
      <c r="V51" s="18" t="n">
        <v>46257.6050925926</v>
      </c>
    </row>
    <row r="52">
      <c r="A52" s="13" t="inlineStr">
        <is>
          <t>PF-CONTACT-007</t>
        </is>
      </c>
      <c r="B52" s="13" t="inlineStr">
        <is>
          <t>Code Inventory</t>
        </is>
      </c>
      <c r="C52" s="13" t="inlineStr">
        <is>
          <t>/contact field validation</t>
        </is>
      </c>
      <c r="D52" s="13" t="inlineStr">
        <is>
          <t>Prospect/assistive tech</t>
        </is>
      </c>
      <c r="E52" s="13" t="inlineStr">
        <is>
          <t>As a prospect, I want immediate, specific validation.</t>
        </is>
      </c>
      <c r="F52" s="13" t="inlineStr">
        <is>
          <t>Field blurred or submit attempted.</t>
        </is>
      </c>
      <c r="G52" s="13" t="inlineStr">
        <is>
          <t>Leave blank, enter bad email/unknown option, or message under 10 chars.</t>
        </is>
      </c>
      <c r="H52" s="13" t="inlineStr">
        <is>
          <t>Show field-specific message; mark invalid; associate hint/error IDs; revalidate touched fields on change.</t>
        </is>
      </c>
      <c r="I52" s="13" t="inlineStr">
        <is>
          <t>aria-invalid, aria-describedby, visible rose border/text; no native validation bubble (noValidate).</t>
        </is>
      </c>
      <c r="J52" s="13" t="inlineStr">
        <is>
          <t>src/components/ContactComposer.tsx:84-104,178-184,312-440</t>
        </is>
      </c>
      <c r="K52" s="13" t="inlineStr">
        <is>
          <t>src/components/__tests__/ContactComposer.test.tsx:16-38,90-118; e2e/contact.spec.ts:31-37</t>
        </is>
      </c>
      <c r="L52" s="13" t="inlineStr">
        <is>
          <t>Active</t>
        </is>
      </c>
      <c r="M52" s="13" t="inlineStr">
        <is>
          <t>Fail</t>
        </is>
      </c>
      <c r="N52" s="13" t="inlineStr">
        <is>
          <t>Fail — Blank, bad email, unknown options, under-10 message, and touched-field revalidation passed; all text fields remained unbounded and a 5,000-character message was accepted into a 5,367-character URL. Evidence: /tmp/portfolio-feature-audit/baseline/contact-system/validation/empty-submit.png; /tmp/portfolio-feature-audit/baseline/contact-system/contact-interactions.md</t>
        </is>
      </c>
      <c r="O52" s="13" t="inlineStr">
        <is>
          <t>UX-CONTACT-002</t>
        </is>
      </c>
      <c r="P52" s="13" t="inlineStr">
        <is>
          <t>Fixed</t>
        </is>
      </c>
      <c r="Q52" s="13" t="inlineStr">
        <is>
          <t>Pass</t>
        </is>
      </c>
      <c r="R52" s="13" t="inlineStr">
        <is>
          <t>Pass — Specific blank/email/message validation, aria associations, and touched revalidation passed. Name/email/message limits are 80/254/1000; overfill truncated to 1000 with a live counter. Evidence: /tmp/portfolio-feature-audit/postfix/contact-system/contact-390-validation-empty.png; /tmp/portfolio-feature-audit/postfix/contact-system/contact-390-url-limit.png</t>
        </is>
      </c>
      <c r="S52" s="13" t="inlineStr"/>
      <c r="T52" s="13" t="inlineStr">
        <is>
          <t>Unassigned</t>
        </is>
      </c>
      <c r="U52" s="18" t="n">
        <v>46257</v>
      </c>
      <c r="V52" s="18" t="n">
        <v>46257.6050925926</v>
      </c>
    </row>
    <row r="53">
      <c r="A53" s="13" t="inlineStr">
        <is>
          <t>PF-CONTACT-008</t>
        </is>
      </c>
      <c r="B53" s="13" t="inlineStr">
        <is>
          <t>Code Inventory</t>
        </is>
      </c>
      <c r="C53" s="13" t="inlineStr">
        <is>
          <t>/contact invalid-submit focus</t>
        </is>
      </c>
      <c r="D53" s="13" t="inlineStr">
        <is>
          <t>Prospect/keyboard user</t>
        </is>
      </c>
      <c r="E53" s="13" t="inlineStr">
        <is>
          <t>As a prospect, I want errors summarized and focus moved to the first problem.</t>
        </is>
      </c>
      <c r="F53" s="13" t="inlineStr">
        <is>
          <t>Form contains any invalid field.</t>
        </is>
      </c>
      <c r="G53" s="13" t="inlineStr">
        <is>
          <t>Submit.</t>
        </is>
      </c>
      <c r="H53" s="13" t="inlineStr">
        <is>
          <t>Prevent draft, mark all touched, set error status, focus first invalid field in field order.</t>
        </is>
      </c>
      <c r="I53" s="13" t="inlineStr">
        <is>
          <t>Assertive alert status on error; deterministic focus recovery.</t>
        </is>
      </c>
      <c r="J53" s="13" t="inlineStr">
        <is>
          <t>src/components/ContactComposer.tsx:106-143,299-306,446-462</t>
        </is>
      </c>
      <c r="K53" s="13" t="inlineStr">
        <is>
          <t>src/components/__tests__/ContactComposer.test.tsx:16-38,90-118; E2E checks invalid state but not focus e2e/contact.spec.ts:31-37</t>
        </is>
      </c>
      <c r="L53" s="13" t="inlineStr">
        <is>
          <t>Active</t>
        </is>
      </c>
      <c r="M53" s="13" t="inlineStr">
        <is>
          <t>Pass</t>
        </is>
      </c>
      <c r="N53" s="13" t="inlineStr">
        <is>
          <t>Pass — All fields became invalid, atomic assertive summary appeared, no mailto was created, and focus moved to Your name. Evidence: /tmp/portfolio-feature-audit/baseline/contact-system/validation/empty-submit.png; /tmp/portfolio-feature-audit/baseline/contact-system/contact-interactions.md</t>
        </is>
      </c>
      <c r="O53" s="13" t="n"/>
      <c r="P53" s="13" t="inlineStr">
        <is>
          <t>Not Started</t>
        </is>
      </c>
      <c r="Q53" s="13" t="inlineStr">
        <is>
          <t>Pass</t>
        </is>
      </c>
      <c r="R53" s="13" t="inlineStr">
        <is>
          <t>Pass — Empty submit marked five fields invalid, emitted an assertive alert, created no mailto, and focused Your name at 390, 768, and 1440. Evidence: /tmp/portfolio-feature-audit/postfix/contact-system/contact-390-validation-empty.png; /tmp/portfolio-feature-audit/postfix/contact-system/contact-1440-validation-copy-repeat.png</t>
        </is>
      </c>
      <c r="S53" s="13" t="inlineStr"/>
      <c r="T53" s="13" t="inlineStr">
        <is>
          <t>Unassigned</t>
        </is>
      </c>
      <c r="U53" s="18" t="n">
        <v>46257</v>
      </c>
      <c r="V53" s="18" t="n">
        <v>46257.6050925926</v>
      </c>
    </row>
    <row r="54">
      <c r="A54" s="13" t="inlineStr">
        <is>
          <t>PF-CONTACT-009</t>
        </is>
      </c>
      <c r="B54" s="13" t="inlineStr">
        <is>
          <t>Code Inventory</t>
        </is>
      </c>
      <c r="C54" s="13" t="inlineStr">
        <is>
          <t>/contact encoded mailto draft</t>
        </is>
      </c>
      <c r="D54" s="13" t="inlineStr">
        <is>
          <t>Prospect</t>
        </is>
      </c>
      <c r="E54" s="13" t="inlineStr">
        <is>
          <t>As a prospect, I want a reviewable draft, not automatic sending.</t>
        </is>
      </c>
      <c r="F54" s="13" t="inlineStr">
        <is>
          <t>All fields valid and mail client available.</t>
        </is>
      </c>
      <c r="G54" s="13" t="inlineStr">
        <is>
          <t>Activate “Prepare email draft.”</t>
        </is>
      </c>
      <c r="H54" s="13" t="inlineStr">
        <is>
          <t>Trim inputs; build encoded subject/body with labels and provenance; programmatically click protected mailto:; nothing sends automatically.</t>
        </is>
      </c>
      <c r="I54" s="13" t="inlineStr">
        <is>
          <t>Submit disabled/aria-busy while preparing; visible spinner and explicit status.</t>
        </is>
      </c>
      <c r="J54" s="13" t="inlineStr">
        <is>
          <t>src/components/ContactComposer.tsx:51-68,106-169,275-308</t>
        </is>
      </c>
      <c r="K54" s="13" t="inlineStr">
        <is>
          <t>src/components/__tests__/ContactComposer.test.tsx:40-88; e2e/contact.spec.ts:46-71</t>
        </is>
      </c>
      <c r="L54" s="13" t="inlineStr">
        <is>
          <t>Active</t>
        </is>
      </c>
      <c r="M54" s="13" t="inlineStr">
        <is>
          <t>Fail</t>
        </is>
      </c>
      <c r="N54" s="13" t="inlineStr">
        <is>
          <t>Fail — Encoded protected mailto was correct and safely intercepted, but MutationObserver saw idle jump directly to success; aria-busy, spinner, and Preparing draft never rendered. Evidence: /tmp/portfolio-feature-audit/baseline/contact-system/interactions/valid-mailto-intercept.png; /tmp/portfolio-feature-audit/baseline/contact-system/contact-interactions.md</t>
        </is>
      </c>
      <c r="O54" s="13" t="inlineStr">
        <is>
          <t>UX-CONTACT-001; UX-CONTACT-002; BL-SYS-001</t>
        </is>
      </c>
      <c r="P54" s="13" t="inlineStr">
        <is>
          <t>Fixed</t>
        </is>
      </c>
      <c r="Q54" s="13" t="inlineStr">
        <is>
          <t>Pass</t>
        </is>
      </c>
      <c r="R54" s="13" t="inlineStr">
        <is>
          <t>Pass — Valid input generated one correctly encoded intercepted mailto. Busy, disabled, spinner, and Preparing state were observable for about 302ms. Oversize encoded URL was rejected before handoff and focused Message. Evidence: /tmp/portfolio-feature-audit/postfix/contact-system/contact-390-preparing.png; /tmp/portfolio-feature-audit/postfix/contact-system/contact-390-mailto-neutral.png; /tmp/portfolio-feature-audit/postfix/contact-system/contact-390-url-limit.png</t>
        </is>
      </c>
      <c r="S54" s="13" t="inlineStr"/>
      <c r="T54" s="13" t="inlineStr">
        <is>
          <t>Unassigned</t>
        </is>
      </c>
      <c r="U54" s="18" t="n">
        <v>46257</v>
      </c>
      <c r="V54" s="18" t="n">
        <v>46257.6050925926</v>
      </c>
    </row>
    <row r="55">
      <c r="A55" s="13" t="inlineStr">
        <is>
          <t>PF-CONTACT-010</t>
        </is>
      </c>
      <c r="B55" s="13" t="inlineStr">
        <is>
          <t>Code Inventory</t>
        </is>
      </c>
      <c r="C55" s="13" t="inlineStr">
        <is>
          <t>/contact inquiry analytics</t>
        </is>
      </c>
      <c r="D55" s="13" t="inlineStr">
        <is>
          <t>Site operator</t>
        </is>
      </c>
      <c r="E55" s="13" t="inlineStr">
        <is>
          <t>As an operator, I want privacy-minimal draft intent telemetry.</t>
        </is>
      </c>
      <c r="F55" s="13" t="inlineStr">
        <is>
          <t>Valid draft action in browser production runtime.</t>
        </is>
      </c>
      <c r="G55" s="13" t="inlineStr">
        <is>
          <t>Prepare draft.</t>
        </is>
      </c>
      <c r="H55" s="13" t="inlineStr">
        <is>
          <t>Track contact_mailto_draft with only project type and budget; drop null/undefined properties; failures do not block UX.</t>
        </is>
      </c>
      <c r="I55" s="13" t="inlineStr">
        <is>
          <t>No name/email/message sent; fail-closed in test/server/unavailable runtime.</t>
        </is>
      </c>
      <c r="J55" s="13" t="inlineStr">
        <is>
          <t>src/components/ContactComposer.tsx:145-149; src/utils/analytics.ts:10-36</t>
        </is>
      </c>
      <c r="K55" s="13" t="inlineStr">
        <is>
          <t>src/components/__tests__/ContactComposer.test.tsx:40-88,120-148</t>
        </is>
      </c>
      <c r="L55" s="13" t="inlineStr">
        <is>
          <t>Active</t>
        </is>
      </c>
      <c r="M55" s="13" t="inlineStr">
        <is>
          <t>Pass</t>
        </is>
      </c>
      <c r="N55" s="13" t="inlineStr">
        <is>
          <t>Pass — Runtime window.va capture contained only project_type and budget_range; source/tests drop null/undefined and catch runtime failures. Evidence: /tmp/portfolio-feature-audit/baseline/contact-system/contact-interactions.md; /tmp/portfolio-feature-audit/baseline/contact-system/validation-evidence.md</t>
        </is>
      </c>
      <c r="O55" s="13" t="n"/>
      <c r="P55" s="13" t="inlineStr">
        <is>
          <t>Not Started</t>
        </is>
      </c>
      <c r="Q55" s="13" t="inlineStr">
        <is>
          <t>Pass</t>
        </is>
      </c>
      <c r="R55" s="13" t="inlineStr">
        <is>
          <t>Pass — Captured contact_mailto_draft event contained only project_type and budget_range; no personal fields were included. Evidence: /tmp/portfolio-feature-audit/postfix/contact-system/lane-c-trace.zip; /tmp/portfolio-feature-audit/postfix/integration-report.md</t>
        </is>
      </c>
      <c r="S55" s="13" t="inlineStr"/>
      <c r="T55" s="13" t="inlineStr">
        <is>
          <t>Unassigned</t>
        </is>
      </c>
      <c r="U55" s="18" t="n">
        <v>46257</v>
      </c>
      <c r="V55" s="18" t="n">
        <v>46257.6050925926</v>
      </c>
    </row>
    <row r="56">
      <c r="A56" s="13" t="inlineStr">
        <is>
          <t>PF-CONTACT-011</t>
        </is>
      </c>
      <c r="B56" s="13" t="inlineStr">
        <is>
          <t>Code Inventory</t>
        </is>
      </c>
      <c r="C56" s="13" t="inlineStr">
        <is>
          <t>/contact form status announcements</t>
        </is>
      </c>
      <c r="D56" s="13" t="inlineStr">
        <is>
          <t>Prospect/assistive tech</t>
        </is>
      </c>
      <c r="E56" s="13" t="inlineStr">
        <is>
          <t>As a user, I want clear idle/preparing/success/error state.</t>
        </is>
      </c>
      <c r="F56" s="13" t="inlineStr">
        <is>
          <t>Composer rendered/submitted.</t>
        </is>
      </c>
      <c r="G56" s="13" t="inlineStr">
        <is>
          <t>Interact with form.</t>
        </is>
      </c>
      <c r="H56" s="13" t="inlineStr">
        <is>
          <t>Announce “nothing sent,” preparing, success, or validation error; success says mail app should open.</t>
        </is>
      </c>
      <c r="I56" s="13" t="inlineStr">
        <is>
          <t>role=status polite normally; role=alert assertive on error; atomic.</t>
        </is>
      </c>
      <c r="J56" s="13" t="inlineStr">
        <is>
          <t>src/components/ContactComposer.tsx:162-176,299-306</t>
        </is>
      </c>
      <c r="K56" s="13" t="inlineStr">
        <is>
          <t>src/components/__tests__/ContactComposer.test.tsx:90-118; e2e/contact.spec.ts:34,55-57</t>
        </is>
      </c>
      <c r="L56" s="13" t="inlineStr">
        <is>
          <t>Active</t>
        </is>
      </c>
      <c r="M56" s="13" t="inlineStr">
        <is>
          <t>Fail</t>
        </is>
      </c>
      <c r="N56" s="13" t="inlineStr">
        <is>
          <t>Fail — Idle and validation alert semantics passed, but preparing never rendered and a no-op intercepted protocol click immediately claimed the mail app should open. Evidence: /tmp/portfolio-feature-audit/baseline/contact-system/contact-interactions.md; /tmp/portfolio-feature-audit/baseline/contact-system/interactions/valid-mailto-intercept.png</t>
        </is>
      </c>
      <c r="O56" s="13" t="inlineStr">
        <is>
          <t>UX-CONTACT-001; BL-SYS-001</t>
        </is>
      </c>
      <c r="P56" s="13" t="inlineStr">
        <is>
          <t>Fixed</t>
        </is>
      </c>
      <c r="Q56" s="13" t="inlineStr">
        <is>
          <t>Pass</t>
        </is>
      </c>
      <c r="R56" s="13" t="inlineStr">
        <is>
          <t>Pass — Idle, assertive validation, polite preparing, and neutral completion semantics passed; completion explicitly states Email draft requested and Nothing was sent with fallbacks. Evidence: /tmp/portfolio-feature-audit/postfix/contact-system/contact-390-preparing.png; /tmp/portfolio-feature-audit/postfix/contact-system/contact-390-mailto-neutral.png</t>
        </is>
      </c>
      <c r="S56" s="13" t="inlineStr"/>
      <c r="T56" s="13" t="inlineStr">
        <is>
          <t>Unassigned</t>
        </is>
      </c>
      <c r="U56" s="18" t="n">
        <v>46257</v>
      </c>
      <c r="V56" s="18" t="n">
        <v>46257.6050925926</v>
      </c>
    </row>
    <row r="57">
      <c r="A57" s="13" t="inlineStr">
        <is>
          <t>PF-CONTACT-012</t>
        </is>
      </c>
      <c r="B57" s="13" t="inlineStr">
        <is>
          <t>Code Inventory</t>
        </is>
      </c>
      <c r="C57" s="13" t="inlineStr">
        <is>
          <t>/contact secondary channels</t>
        </is>
      </c>
      <c r="D57" s="13" t="inlineStr">
        <is>
          <t>Visitor</t>
        </is>
      </c>
      <c r="E57" s="13" t="inlineStr">
        <is>
          <t>As a visitor, I want professional alternatives.</t>
        </is>
      </c>
      <c r="F57" s="13" t="inlineStr">
        <is>
          <t>Secondary contact list rendered.</t>
        </is>
      </c>
      <c r="G57" s="13" t="inlineStr">
        <is>
          <t>Activate GitHub, LinkedIn, or Defendre Solutions card.</t>
        </is>
      </c>
      <c r="H57" s="13" t="inlineStr">
        <is>
          <t>Open configured external destination in protected new tab.</t>
        </is>
      </c>
      <c r="I57" s="13" t="inlineStr">
        <is>
          <t>Large focusable cards; icon decorative; visible name/description/value.</t>
        </is>
      </c>
      <c r="J57" s="13" t="inlineStr">
        <is>
          <t>src/data/socials.ts:40-64; src/app/(site)/contact/page.tsx:128-181</t>
        </is>
      </c>
      <c r="K57" s="13" t="inlineStr">
        <is>
          <t>src/app/(site)/contact/page.test.tsx:27-51; src/data/__tests__/socials.test.ts:41-76</t>
        </is>
      </c>
      <c r="L57" s="13" t="inlineStr">
        <is>
          <t>Active</t>
        </is>
      </c>
      <c r="M57" s="13" t="inlineStr">
        <is>
          <t>Fail</t>
        </is>
      </c>
      <c r="N57" s="13" t="inlineStr">
        <is>
          <t>Fail — Destinations, target, rel, and large geometry passed, but accessible names omit the new-tab context change. Evidence: /tmp/portfolio-feature-audit/baseline/contact-system/contact-interactions.md; /tmp/portfolio-feature-audit/baseline/contact-system/snapshot-contact-390.txt</t>
        </is>
      </c>
      <c r="O57" s="13" t="inlineStr">
        <is>
          <t>A11Y-EXT-001; DESIGN-AI-001</t>
        </is>
      </c>
      <c r="P57" s="13" t="inlineStr">
        <is>
          <t>Fixed</t>
        </is>
      </c>
      <c r="Q57" s="13" t="inlineStr">
        <is>
          <t>Pass</t>
        </is>
      </c>
      <c r="R57" s="13" t="inlineStr">
        <is>
          <t>Pass — GitHub, LinkedIn, and studio cards retained correct protected new-tab destinations and now disclose opens in a new tab in accessible names. Evidence: /tmp/portfolio-feature-audit/postfix/contact-system/lane-c-trace.zip; /tmp/portfolio-feature-audit/postfix/integration-report.md</t>
        </is>
      </c>
      <c r="S57" s="13" t="inlineStr"/>
      <c r="T57" s="13" t="inlineStr">
        <is>
          <t>Unassigned</t>
        </is>
      </c>
      <c r="U57" s="18" t="n">
        <v>46257</v>
      </c>
      <c r="V57" s="18" t="n">
        <v>46257.6050925926</v>
      </c>
    </row>
    <row r="58">
      <c r="A58" s="13" t="inlineStr">
        <is>
          <t>PF-CONTACT-013</t>
        </is>
      </c>
      <c r="B58" s="13" t="inlineStr">
        <is>
          <t>Code Inventory</t>
        </is>
      </c>
      <c r="C58" s="13" t="inlineStr">
        <is>
          <t>/contact LinkedIn responsive label</t>
        </is>
      </c>
      <c r="D58" s="13" t="inlineStr">
        <is>
          <t>Mobile visitor</t>
        </is>
      </c>
      <c r="E58" s="13" t="inlineStr">
        <is>
          <t>As a mobile visitor, I want a non-overflowing LinkedIn label.</t>
        </is>
      </c>
      <c r="F58" s="13" t="inlineStr">
        <is>
          <t>Secondary LinkedIn card visible.</t>
        </is>
      </c>
      <c r="G58" s="13" t="inlineStr">
        <is>
          <t>View below/above sm.</t>
        </is>
      </c>
      <c r="H58" s="13" t="inlineStr">
        <is>
          <t>Show “LinkedIn profile” on mobile and full path at sm+.</t>
        </is>
      </c>
      <c r="I58" s="13" t="inlineStr">
        <is>
          <t>Prevents long label overflow without changing destination/name.</t>
        </is>
      </c>
      <c r="J58" s="13" t="inlineStr">
        <is>
          <t>src/data/socials.ts:49-55; src/app/(site)/contact/page.tsx:168-177</t>
        </is>
      </c>
      <c r="K58" s="13" t="inlineStr">
        <is>
          <t>/contact mobile overflow e2e/contact.spec.ts:43; no direct label assertion</t>
        </is>
      </c>
      <c r="L58" s="13" t="inlineStr">
        <is>
          <t>Active</t>
        </is>
      </c>
      <c r="M58" s="13" t="inlineStr">
        <is>
          <t>Pass</t>
        </is>
      </c>
      <c r="N58" s="13" t="inlineStr">
        <is>
          <t>Pass — LinkedIn profile displayed at 390; full path displayed at 768+; no horizontal overflow. Evidence: /tmp/portfolio-feature-audit/baseline/contact-system/390/contact-full.png; /tmp/portfolio-feature-audit/baseline/contact-system/768/contact-full.png</t>
        </is>
      </c>
      <c r="O58" s="13" t="n"/>
      <c r="P58" s="13" t="inlineStr">
        <is>
          <t>Not Started</t>
        </is>
      </c>
      <c r="Q58" s="13" t="inlineStr">
        <is>
          <t>Pass</t>
        </is>
      </c>
      <c r="R58" s="13" t="inlineStr">
        <is>
          <t>Pass — LinkedIn profile was the only visible value at 390; full profile path was the only visible value at exact 768; no overflow occurred. Evidence: /tmp/portfolio-feature-audit/postfix/contact-system/contact-390-initial.png; /tmp/portfolio-feature-audit/postfix/contact-system/contact-768.png</t>
        </is>
      </c>
      <c r="S58" s="13" t="inlineStr"/>
      <c r="T58" s="13" t="inlineStr">
        <is>
          <t>Unassigned</t>
        </is>
      </c>
      <c r="U58" s="18" t="n">
        <v>46257</v>
      </c>
      <c r="V58" s="18" t="n">
        <v>46257.6050925926</v>
      </c>
    </row>
    <row r="59">
      <c r="A59" s="13" t="inlineStr">
        <is>
          <t>PF-CONTACT-014</t>
        </is>
      </c>
      <c r="B59" s="13" t="inlineStr">
        <is>
          <t>Code Inventory</t>
        </is>
      </c>
      <c r="C59" s="13" t="inlineStr">
        <is>
          <t>/contact low-priority support</t>
        </is>
      </c>
      <c r="D59" s="13" t="inlineStr">
        <is>
          <t>Supporter</t>
        </is>
      </c>
      <c r="E59" s="13" t="inlineStr">
        <is>
          <t>As a supporter, I want an optional support link without displacing inquiry CTAs.</t>
        </is>
      </c>
      <c r="F59" s="13" t="inlineStr">
        <is>
          <t>Footer-priority link exists.</t>
        </is>
      </c>
      <c r="G59" s="13" t="inlineStr">
        <is>
          <t>Activate “Support.”</t>
        </is>
      </c>
      <c r="H59" s="13" t="inlineStr">
        <is>
          <t>Open Buy Me a Coffee in protected new tab from footer/studio panel.</t>
        </is>
      </c>
      <c r="I59" s="13" t="inlineStr">
        <is>
          <t>44px focusable pill; labelled “Support Defendre Solutions”; deliberately not primary/social nav.</t>
        </is>
      </c>
      <c r="J59" s="13" t="inlineStr">
        <is>
          <t>src/data/socials.ts:22-29,65; src/app/(site)/contact/page.tsx:184-213</t>
        </is>
      </c>
      <c r="K59" s="13" t="inlineStr">
        <is>
          <t>src/app/(site)/contact/page.test.tsx:52-59; src/data/__tests__/socials.test.ts:34-39,73-76</t>
        </is>
      </c>
      <c r="L59" s="13" t="inlineStr">
        <is>
          <t>Active</t>
        </is>
      </c>
      <c r="M59" s="13" t="inlineStr">
        <is>
          <t>Fail</t>
        </is>
      </c>
      <c r="N59" s="13" t="inlineStr">
        <is>
          <t>Fail — Placement, label, 44px target, and destination passed, but its accessible name omits the new-tab context change. Evidence: /tmp/portfolio-feature-audit/baseline/contact-system/contact-interactions.md; /tmp/portfolio-feature-audit/baseline/contact-system/1440/contact-full.png</t>
        </is>
      </c>
      <c r="O59" s="13" t="inlineStr">
        <is>
          <t>A11Y-EXT-001; DESIGN-AI-001</t>
        </is>
      </c>
      <c r="P59" s="13" t="inlineStr">
        <is>
          <t>Fixed</t>
        </is>
      </c>
      <c r="Q59" s="13" t="inlineStr">
        <is>
          <t>Pass</t>
        </is>
      </c>
      <c r="R59" s="13" t="inlineStr">
        <is>
          <t>Pass — Support remained footer-priority with a 44px target, correct URL, protected new tab, and disclosed context-change accessible name. Evidence: /tmp/portfolio-feature-audit/postfix/contact-system/contact-1440-validation-copy-repeat.png; /tmp/portfolio-feature-audit/postfix/integration-report.md</t>
        </is>
      </c>
      <c r="S59" s="13" t="inlineStr"/>
      <c r="T59" s="13" t="inlineStr">
        <is>
          <t>Unassigned</t>
        </is>
      </c>
      <c r="U59" s="18" t="n">
        <v>46257</v>
      </c>
      <c r="V59" s="18" t="n">
        <v>46257.6050925926</v>
      </c>
    </row>
    <row r="60">
      <c r="A60" s="13" t="inlineStr">
        <is>
          <t>PF-404-001</t>
        </is>
      </c>
      <c r="B60" s="13" t="inlineStr">
        <is>
          <t>Code Inventory</t>
        </is>
      </c>
      <c r="C60" s="13" t="inlineStr">
        <is>
          <t>Custom not found</t>
        </is>
      </c>
      <c r="D60" s="13" t="inlineStr">
        <is>
          <t>Lost visitor</t>
        </is>
      </c>
      <c r="E60" s="13" t="inlineStr">
        <is>
          <t>As a visitor on a bad route, I want a branded explanation.</t>
        </is>
      </c>
      <c r="F60" s="13" t="inlineStr">
        <is>
          <t>Framework resolves unmatched route.</t>
        </is>
      </c>
      <c r="G60" s="13" t="inlineStr">
        <is>
          <t>Load unknown URL.</t>
        </is>
      </c>
      <c r="H60" s="13" t="inlineStr">
        <is>
          <t>Render Page not found, signal-lost narrative, 404 decoration, normal ambient/navigation shell, and route-specific metadata.</t>
        </is>
      </c>
      <c r="I60" s="13" t="inlineStr">
        <is>
          <t>Semantic h1; decorative 404 hidden; responsive panel; skip link.</t>
        </is>
      </c>
      <c r="J60" s="13" t="inlineStr">
        <is>
          <t>src/app/not-found.tsx:7-11,31-69</t>
        </is>
      </c>
      <c r="K60" s="13" t="inlineStr">
        <is>
          <t>src/app/not-found.test.tsx:27-51</t>
        </is>
      </c>
      <c r="L60" s="13" t="inlineStr">
        <is>
          <t>Active</t>
        </is>
      </c>
      <c r="M60" s="13" t="inlineStr">
        <is>
          <t>Pass</t>
        </is>
      </c>
      <c r="N60" s="13" t="inlineStr">
        <is>
          <t>Pass — HTTP response is 404; title is Page Not Found; the Steve Defendre signal-lost message, Page not found h1, explanatory copy, dark shell, and no active primary route render at 390/768/1440 without overflow. Evidence: /tmp/portfolio-feature-audit/baseline/core/not-found-http-headers.txt; /tmp/portfolio-feature-audit/baseline/core/not-found-1440-a11y.txt; /tmp/portfolio-feature-audit/baseline/core/not-found-390-full.png; /tmp/portfolio-feature-audit/baseline/core/not-found-768-full.png; /tmp/portfolio-feature-audit/baseline/core/not-found-1440-full.png</t>
        </is>
      </c>
      <c r="O60" s="13" t="n"/>
      <c r="P60" s="13" t="inlineStr">
        <is>
          <t>Not Started</t>
        </is>
      </c>
      <c r="Q60" s="13" t="inlineStr">
        <is>
          <t>Pass</t>
        </is>
      </c>
      <c r="R60" s="13" t="inlineStr">
        <is>
          <t>Pass — The invalid route rendered Page not found, signal-lost copy, 404 decoration, ambient shell, route title/description, one visible navigation, and no overflow at 390/768/1440. Evidence: /tmp/portfolio-feature-audit/postfix/core/390/not-found-diagnostics.json; /tmp/portfolio-feature-audit/postfix/core/390/not-found-a11y.txt; /tmp/portfolio-feature-audit/postfix/core/390/not-found-full.png; /tmp/portfolio-feature-audit/postfix/core/768/not-found-full.png; /tmp/portfolio-feature-audit/postfix/core/1440/not-found-full.png</t>
        </is>
      </c>
      <c r="S60" s="13" t="inlineStr"/>
      <c r="T60" s="13" t="inlineStr">
        <is>
          <t>Unassigned</t>
        </is>
      </c>
      <c r="U60" s="18" t="n">
        <v>46257</v>
      </c>
      <c r="V60" s="18" t="n">
        <v>46257.6050925926</v>
      </c>
    </row>
    <row r="61">
      <c r="A61" s="13" t="inlineStr">
        <is>
          <t>PF-404-002</t>
        </is>
      </c>
      <c r="B61" s="13" t="inlineStr">
        <is>
          <t>Code Inventory</t>
        </is>
      </c>
      <c r="C61" s="13" t="inlineStr">
        <is>
          <t>Custom not found recovery</t>
        </is>
      </c>
      <c r="D61" s="13" t="inlineStr">
        <is>
          <t>Lost visitor</t>
        </is>
      </c>
      <c r="E61" s="13" t="inlineStr">
        <is>
          <t>As a lost visitor, I want recovery destinations.</t>
        </is>
      </c>
      <c r="F61" s="13" t="inlineStr">
        <is>
          <t>404 shown.</t>
        </is>
      </c>
      <c r="G61" s="13" t="inlineStr">
        <is>
          <t>Activate Home, Projects, or Contact.</t>
        </is>
      </c>
      <c r="H61" s="13" t="inlineStr">
        <is>
          <t>Navigate to selected route via recovery nav.</t>
        </is>
      </c>
      <c r="I61" s="13" t="inlineStr">
        <is>
          <t>nav aria-label="Page recovery"; two-column mobile grid/row at sm; 48px controls.</t>
        </is>
      </c>
      <c r="J61" s="13" t="inlineStr">
        <is>
          <t>src/app/not-found.tsx:13-29,70-84</t>
        </is>
      </c>
      <c r="K61" s="13" t="inlineStr">
        <is>
          <t>src/app/not-found.test.tsx:27-46</t>
        </is>
      </c>
      <c r="L61" s="13" t="inlineStr">
        <is>
          <t>Active</t>
        </is>
      </c>
      <c r="M61" s="13" t="inlineStr">
        <is>
          <t>Pass</t>
        </is>
      </c>
      <c r="N61" s="13" t="inlineStr">
        <is>
          <t>Pass — Accessibility tree exposes Page recovery navigation; keyboard Home and click Projects/Contact each reached the intended route; mobile controls reflow 2+1 and remain clear of the dock. Evidence: /tmp/portfolio-feature-audit/baseline/core/not-found-1440-a11y.txt; /tmp/portfolio-feature-audit/baseline/core/not-found-recovery-home-keyboard.txt; /tmp/portfolio-feature-audit/baseline/core/not-found-recovery-projects.txt; /tmp/portfolio-feature-audit/baseline/core/not-found-recovery-contact.txt; /tmp/portfolio-feature-audit/baseline/core/not-found-390-full.png</t>
        </is>
      </c>
      <c r="O61" s="13" t="n"/>
      <c r="P61" s="13" t="inlineStr">
        <is>
          <t>Not Started</t>
        </is>
      </c>
      <c r="Q61" s="13" t="inlineStr">
        <is>
          <t>Pass</t>
        </is>
      </c>
      <c r="R61" s="13" t="inlineStr">
        <is>
          <t>Pass — The labelled recovery navigation rendered three 47.6px+ targets; each was activated and reached its intended route. Evidence: /tmp/portfolio-feature-audit/postfix/core/390/not-found-diagnostics.json; /tmp/portfolio-feature-audit/postfix/core/390/recovery-home-url.txt; /tmp/portfolio-feature-audit/postfix/core/390/recovery-projects-url.txt; /tmp/portfolio-feature-audit/postfix/core/390/recovery-contact-url.txt</t>
        </is>
      </c>
      <c r="S61" s="13" t="inlineStr"/>
      <c r="T61" s="13" t="inlineStr">
        <is>
          <t>Unassigned</t>
        </is>
      </c>
      <c r="U61" s="18" t="n">
        <v>46257</v>
      </c>
      <c r="V61" s="18" t="n">
        <v>46257.6050925926</v>
      </c>
    </row>
    <row r="62">
      <c r="A62" s="13" t="inlineStr">
        <is>
          <t>PF-404-003</t>
        </is>
      </c>
      <c r="B62" s="13" t="inlineStr">
        <is>
          <t>Code Inventory</t>
        </is>
      </c>
      <c r="C62" s="13" t="inlineStr">
        <is>
          <t>Custom not found attribution/analytics</t>
        </is>
      </c>
      <c r="D62" s="13" t="inlineStr">
        <is>
          <t>Visitor/operator</t>
        </is>
      </c>
      <c r="E62" s="13" t="inlineStr">
        <is>
          <t>As a visitor/operator, I want attribution and page-view telemetry.</t>
        </is>
      </c>
      <c r="F62" s="13" t="inlineStr">
        <is>
          <t>404 shown.</t>
        </is>
      </c>
      <c r="G62" s="13" t="inlineStr">
        <is>
          <t>Open studio link / page loads.</t>
        </is>
      </c>
      <c r="H62" s="13" t="inlineStr">
        <is>
          <t>Protected Defendre Solutions link and nonce-bearing deferred Vercel Insights script.</t>
        </is>
      </c>
      <c r="I62" s="13" t="inlineStr">
        <is>
          <t>Focusable external link; nonce sourced from request headers.</t>
        </is>
      </c>
      <c r="J62" s="13" t="inlineStr">
        <is>
          <t>src/app/not-found.tsx:31-32,87-103</t>
        </is>
      </c>
      <c r="K62" s="13" t="inlineStr">
        <is>
          <t>src/app/not-found.test.tsx:27-46; proxy nonce coverage is indirect</t>
        </is>
      </c>
      <c r="L62" s="13" t="inlineStr">
        <is>
          <t>Active</t>
        </is>
      </c>
      <c r="M62" s="13" t="inlineStr">
        <is>
          <t>Pass</t>
        </is>
      </c>
      <c r="N62" s="13" t="inlineStr">
        <is>
          <t>Pass — Built by Defendre Solutions is present and opens the correct protected new tab. The analytics script is injected, while existing local-only CAND-RUNTIME-ANALYTICS-001 is confirmed by its 404/MIME console errors; production was not tested. Evidence: /tmp/portfolio-feature-audit/baseline/core/not-found-1440-a11y.txt; /tmp/portfolio-feature-audit/baseline/core/not-found-attribution-studio-tabs.txt; /tmp/portfolio-feature-audit/baseline/core/not-found-analytics-dom.json; /tmp/portfolio-feature-audit/baseline/core/not-found-console.txt; /tmp/portfolio-feature-audit/baseline/core/not-found-network.txt</t>
        </is>
      </c>
      <c r="O62" s="13" t="inlineStr">
        <is>
          <t>A11Y-EXT-001; CAND-RUNTIME-ANALYTICS-001</t>
        </is>
      </c>
      <c r="P62" s="13" t="inlineStr">
        <is>
          <t>Fixed</t>
        </is>
      </c>
      <c r="Q62" s="13" t="inlineStr">
        <is>
          <t>Pass</t>
        </is>
      </c>
      <c r="R62" s="13" t="inlineStr">
        <is>
          <t>Pass — The repaired attribution name disclosed its new tab, used protected rel, and opened the studio. The deferred Insights script carried a runtime nonce. Its endpoint is unavailable locally, matching the previously rejected local-only analytics observation rather than a product regression. Evidence: /tmp/portfolio-feature-audit/postfix/core/390/not-found-diagnostics.json; /tmp/portfolio-feature-audit/postfix/core/external/not-found-studio-tabs.txt; /tmp/portfolio-feature-audit/postfix/core/1440/final-console.txt</t>
        </is>
      </c>
      <c r="S62" s="13" t="inlineStr"/>
      <c r="T62" s="13" t="inlineStr">
        <is>
          <t>Unassigned</t>
        </is>
      </c>
      <c r="U62" s="18" t="n">
        <v>46257</v>
      </c>
      <c r="V62" s="18" t="n">
        <v>46257.6050925926</v>
      </c>
    </row>
    <row r="63">
      <c r="A63" s="13" t="inlineStr">
        <is>
          <t>PF-SEO-001</t>
        </is>
      </c>
      <c r="B63" s="13" t="inlineStr">
        <is>
          <t>Code Inventory</t>
        </is>
      </c>
      <c r="C63" s="13" t="inlineStr">
        <is>
          <t>Root metadata / all routes</t>
        </is>
      </c>
      <c r="D63" s="13" t="inlineStr">
        <is>
          <t>Search/social crawler</t>
        </is>
      </c>
      <c r="E63" s="13" t="inlineStr">
        <is>
          <t>As a crawler, I want canonical site identity and preview cards.</t>
        </is>
      </c>
      <c r="F63" s="13" t="inlineStr">
        <is>
          <t>Metadata rendered.</t>
        </is>
      </c>
      <c r="G63" s="13" t="inlineStr">
        <is>
          <t>Parse document head.</t>
        </is>
      </c>
      <c r="H63" s="13" t="inlineStr">
        <is>
          <t>Title/description, canonical URL, Open Graph website fields/image, Twitter large image card.</t>
        </is>
      </c>
      <c r="I63" s="13" t="inlineStr">
        <is>
          <t>Absolute base normalized from environment; image has dimensions/alt.</t>
        </is>
      </c>
      <c r="J63" s="13" t="inlineStr">
        <is>
          <t>src/lib/site-metadata.ts:3-50; src/app/layout.tsx:4-7</t>
        </is>
      </c>
      <c r="K63" s="13" t="inlineStr">
        <is>
          <t>src/app/(site)/layout.test.tsx:98-164; src/app/(site)/layout_extended.test.tsx:62-97</t>
        </is>
      </c>
      <c r="L63" s="13" t="inlineStr">
        <is>
          <t>Active</t>
        </is>
      </c>
      <c r="M63" s="13" t="inlineStr">
        <is>
          <t>Pass</t>
        </is>
      </c>
      <c r="N63" s="13" t="inlineStr">
        <is>
          <t>Pass — Public route metadata used the correct production absolute origin; local fallback divergence was environment-only. Evidence: /tmp/portfolio-feature-audit/baseline/contact-system/system-evidence.md</t>
        </is>
      </c>
      <c r="O63" s="13" t="inlineStr">
        <is>
          <t>CAND-RUNTIME-METADATA-001</t>
        </is>
      </c>
      <c r="P63" s="13" t="inlineStr">
        <is>
          <t>Won't Fix</t>
        </is>
      </c>
      <c r="Q63" s="13" t="inlineStr">
        <is>
          <t>Pass</t>
        </is>
      </c>
      <c r="R63" s="13" t="inlineStr">
        <is>
          <t>Pass — Root and route-specific title, description, canonical, Open Graph, Twitter/image metadata remained present. Local fallback divergence is environment-only and prior public evidence is green. Evidence: /tmp/portfolio-feature-audit/postfix/contact-system/home-static.png; /tmp/portfolio-feature-audit/postfix/integration-report.md</t>
        </is>
      </c>
      <c r="S63" s="13" t="inlineStr"/>
      <c r="T63" s="13" t="inlineStr">
        <is>
          <t>Unassigned</t>
        </is>
      </c>
      <c r="U63" s="18" t="n">
        <v>46257</v>
      </c>
      <c r="V63" s="18" t="n">
        <v>46257.6050925926</v>
      </c>
    </row>
    <row r="64">
      <c r="A64" s="13" t="inlineStr">
        <is>
          <t>PF-SEO-002</t>
        </is>
      </c>
      <c r="B64" s="13" t="inlineStr">
        <is>
          <t>Code Inventory</t>
        </is>
      </c>
      <c r="C64" s="13" t="inlineStr">
        <is>
          <t>Metadata URL normalization</t>
        </is>
      </c>
      <c r="D64" s="13" t="inlineStr">
        <is>
          <t>Deployment system/crawler</t>
        </is>
      </c>
      <c r="E64" s="13" t="inlineStr">
        <is>
          <t>As a deploy system, I want stable absolute URLs.</t>
        </is>
      </c>
      <c r="F64" s="13" t="inlineStr">
        <is>
          <t>Env vars may be bare, protocol-relative, malformed, or absent.</t>
        </is>
      </c>
      <c r="G64" s="13" t="inlineStr">
        <is>
          <t>Resolve metadata/robots/sitemap base.</t>
        </is>
      </c>
      <c r="H64" s="13" t="inlineStr">
        <is>
          <t>Prefer NEXT_PUBLIC_SITE_URL, then production Vercel URL, then deployment URL, then localhost; add https when needed; strip path to root; skip malformed.</t>
        </is>
      </c>
      <c r="I64" s="13" t="inlineStr">
        <is>
          <t>Operational, not visual.</t>
        </is>
      </c>
      <c r="J64" s="13" t="inlineStr">
        <is>
          <t>src/lib/site-metadata.ts:3-27; same normalization in src/app/robots.ts:3-30 and src/app/sitemap.ts:3-30</t>
        </is>
      </c>
      <c r="K64" s="13" t="inlineStr">
        <is>
          <t>src/app/(site)/layout.test.tsx:98-151; src/app/(site)/layout_extended.test.tsx:62-97; metadata route tests below</t>
        </is>
      </c>
      <c r="L64" s="13" t="inlineStr">
        <is>
          <t>Active</t>
        </is>
      </c>
      <c r="M64" s="13" t="inlineStr">
        <is>
          <t>Pass</t>
        </is>
      </c>
      <c r="N64" s="13" t="inlineStr">
        <is>
          <t>Pass — Unit suite passed normalization variants and public endpoints consistently used the production origin. Evidence: /tmp/portfolio-feature-audit/baseline/contact-system/system-evidence.md; /tmp/portfolio-feature-audit/baseline/contact-system/validation-evidence.md</t>
        </is>
      </c>
      <c r="O64" s="13" t="inlineStr">
        <is>
          <t>CAND-RUNTIME-METADATA-001</t>
        </is>
      </c>
      <c r="P64" s="13" t="inlineStr">
        <is>
          <t>Won't Fix</t>
        </is>
      </c>
      <c r="Q64" s="13" t="inlineStr">
        <is>
          <t>Pass</t>
        </is>
      </c>
      <c r="R64" s="13" t="inlineStr">
        <is>
          <t>Pass — No-env runtime correctly selected localhost fallback; recorded unit/integration coverage validates normalization and precedence variants. Evidence: /tmp/portfolio-feature-audit/postfix/integration-report.md; /tmp/portfolio-feature-audit/postfix/validation-results.json</t>
        </is>
      </c>
      <c r="S64" s="13" t="inlineStr"/>
      <c r="T64" s="13" t="inlineStr">
        <is>
          <t>Unassigned</t>
        </is>
      </c>
      <c r="U64" s="18" t="n">
        <v>46257</v>
      </c>
      <c r="V64" s="18" t="n">
        <v>46257.6050925926</v>
      </c>
    </row>
    <row r="65">
      <c r="A65" s="13" t="inlineStr">
        <is>
          <t>PF-SEO-003</t>
        </is>
      </c>
      <c r="B65" s="13" t="inlineStr">
        <is>
          <t>Code Inventory</t>
        </is>
      </c>
      <c r="C65" s="13" t="inlineStr">
        <is>
          <t>/robots.txt</t>
        </is>
      </c>
      <c r="D65" s="13" t="inlineStr">
        <is>
          <t>Search crawler</t>
        </is>
      </c>
      <c r="E65" s="13" t="inlineStr">
        <is>
          <t>As a crawler, I want crawl instructions.</t>
        </is>
      </c>
      <c r="F65" s="13" t="inlineStr">
        <is>
          <t>Metadata route requested.</t>
        </is>
      </c>
      <c r="G65" s="13" t="inlineStr">
        <is>
          <t>GET robots.</t>
        </is>
      </c>
      <c r="H65" s="13" t="inlineStr">
        <is>
          <t>Allow all agents at /, emit canonical sitemap URL and host.</t>
        </is>
      </c>
      <c r="I65" s="13" t="inlineStr">
        <is>
          <t>Machine-readable.</t>
        </is>
      </c>
      <c r="J65" s="13" t="inlineStr">
        <is>
          <t>src/app/robots.ts:32-42</t>
        </is>
      </c>
      <c r="K65" s="13" t="inlineStr">
        <is>
          <t>src/app/robots.test.ts:42-48</t>
        </is>
      </c>
      <c r="L65" s="13" t="inlineStr">
        <is>
          <t>Active</t>
        </is>
      </c>
      <c r="M65" s="13" t="inlineStr">
        <is>
          <t>Pass</t>
        </is>
      </c>
      <c r="N65" s="13" t="inlineStr">
        <is>
          <t>Pass — Local endpoint was machine-readable; public robots consistently emitted production Host and Sitemap. Evidence: /tmp/portfolio-feature-audit/baseline/contact-system/system-evidence.md</t>
        </is>
      </c>
      <c r="O65" s="13" t="inlineStr">
        <is>
          <t>CAND-RUNTIME-METADATA-001</t>
        </is>
      </c>
      <c r="P65" s="13" t="inlineStr">
        <is>
          <t>Won't Fix</t>
        </is>
      </c>
      <c r="Q65" s="13" t="inlineStr">
        <is>
          <t>Pass</t>
        </is>
      </c>
      <c r="R65" s="13" t="inlineStr">
        <is>
          <t>Pass — Robots returned 200 text/plain with allow-all, host, and sitemap; local values reflect fallback while recorded public values use production. Evidence: /tmp/portfolio-feature-audit/postfix/contact-system/robots.png; /tmp/portfolio-feature-audit/postfix/integration-report.md</t>
        </is>
      </c>
      <c r="S65" s="13" t="inlineStr"/>
      <c r="T65" s="13" t="inlineStr">
        <is>
          <t>Unassigned</t>
        </is>
      </c>
      <c r="U65" s="18" t="n">
        <v>46257</v>
      </c>
      <c r="V65" s="18" t="n">
        <v>46257.6050925926</v>
      </c>
    </row>
    <row r="66">
      <c r="A66" s="13" t="inlineStr">
        <is>
          <t>PF-SEO-004</t>
        </is>
      </c>
      <c r="B66" s="13" t="inlineStr">
        <is>
          <t>Code Inventory</t>
        </is>
      </c>
      <c r="C66" s="13" t="inlineStr">
        <is>
          <t>/sitemap.xml</t>
        </is>
      </c>
      <c r="D66" s="13" t="inlineStr">
        <is>
          <t>Search crawler</t>
        </is>
      </c>
      <c r="E66" s="13" t="inlineStr">
        <is>
          <t>As a crawler, I want core route discovery.</t>
        </is>
      </c>
      <c r="F66" s="13" t="inlineStr">
        <is>
          <t>Metadata route requested.</t>
        </is>
      </c>
      <c r="G66" s="13" t="inlineStr">
        <is>
          <t>GET sitemap.</t>
        </is>
      </c>
      <c r="H66" s="13" t="inlineStr">
        <is>
          <t>Emit / priority 1, /contact .9, /projects .8, /about .7, all monthly.</t>
        </is>
      </c>
      <c r="I66" s="13" t="inlineStr">
        <is>
          <t>Machine-readable; absolute URLs.</t>
        </is>
      </c>
      <c r="J66" s="13" t="inlineStr">
        <is>
          <t>src/app/sitemap.ts:32-47</t>
        </is>
      </c>
      <c r="K66" s="13" t="inlineStr">
        <is>
          <t>src/app/sitemap.test.ts:42-50</t>
        </is>
      </c>
      <c r="L66" s="13" t="inlineStr">
        <is>
          <t>Active</t>
        </is>
      </c>
      <c r="M66" s="13" t="inlineStr">
        <is>
          <t>Pass</t>
        </is>
      </c>
      <c r="N66" s="13" t="inlineStr">
        <is>
          <t>Pass — Public sitemap exactly matched all routes, priorities, monthly cadence, and production URLs. Evidence: /tmp/portfolio-feature-audit/baseline/contact-system/system-evidence.md</t>
        </is>
      </c>
      <c r="O66" s="13" t="inlineStr">
        <is>
          <t>CAND-RUNTIME-METADATA-001</t>
        </is>
      </c>
      <c r="P66" s="13" t="inlineStr">
        <is>
          <t>Won't Fix</t>
        </is>
      </c>
      <c r="Q66" s="13" t="inlineStr">
        <is>
          <t>Pass</t>
        </is>
      </c>
      <c r="R66" s="13" t="inlineStr">
        <is>
          <t>Pass — Sitemap returned 200 XML with all four routes, monthly cadence, and priorities 1, .8, .7, .9. Evidence: /tmp/portfolio-feature-audit/postfix/contact-system/sitemap.png; /tmp/portfolio-feature-audit/postfix/integration-report.md</t>
        </is>
      </c>
      <c r="S66" s="13" t="inlineStr"/>
      <c r="T66" s="13" t="inlineStr">
        <is>
          <t>Unassigned</t>
        </is>
      </c>
      <c r="U66" s="18" t="n">
        <v>46257</v>
      </c>
      <c r="V66" s="18" t="n">
        <v>46257.6050925926</v>
      </c>
    </row>
    <row r="67">
      <c r="A67" s="13" t="inlineStr">
        <is>
          <t>PF-OPS-001</t>
        </is>
      </c>
      <c r="B67" s="13" t="inlineStr">
        <is>
          <t>Code Inventory</t>
        </is>
      </c>
      <c r="C67" s="13" t="inlineStr">
        <is>
          <t>Home request pipeline /</t>
        </is>
      </c>
      <c r="D67" s="13" t="inlineStr">
        <is>
          <t>Visitor/deployment system</t>
        </is>
      </c>
      <c r="E67" s="13" t="inlineStr">
        <is>
          <t>As a visitor, I want a fast static home with current content.</t>
        </is>
      </c>
      <c r="F67" s="13" t="inlineStr">
        <is>
          <t>Build has valid committed static assets.</t>
        </is>
      </c>
      <c r="G67" s="13" t="inlineStr">
        <is>
          <t>Request /.</t>
        </is>
      </c>
      <c r="H67" s="13" t="inlineStr">
        <is>
          <t>Before-files rewrite serves /static-home-internal, whose GET reads the hashed committed HTML; public URL remains /.</t>
        </is>
      </c>
      <c r="I67" s="13" t="inlineStr">
        <is>
          <t>Static document includes semantic/authored home, responsive metadata and one analytics script.</t>
        </is>
      </c>
      <c r="J67" s="13" t="inlineStr">
        <is>
          <t>next.config.ts:22-25; src/app/static-home-internal/route.ts:3-18; src/generated/static-home-assets.ts:1-7; scripts/render-static-home.tsx:6-19</t>
        </is>
      </c>
      <c r="K67" s="13" t="inlineStr">
        <is>
          <t>src/proxy.test.ts:5-14; src/app/(home)/layout.test.tsx:19-35; static checks in scripts/check-static-home-assets.node-test.mjs:27-46</t>
        </is>
      </c>
      <c r="L67" s="13" t="inlineStr">
        <is>
          <t>Active</t>
        </is>
      </c>
      <c r="M67" s="13" t="inlineStr">
        <is>
          <t>Pass</t>
        </is>
      </c>
      <c r="N67" s="13" t="inlineStr">
        <is>
          <t>Pass — Home returned 200 at /, used committed hashed HTML, had one Insights script and zero Next client scripts; static integrity passed. Evidence: /tmp/portfolio-feature-audit/baseline/contact-system/system-evidence.md; /tmp/portfolio-feature-audit/baseline/contact-system/validation-evidence.md</t>
        </is>
      </c>
      <c r="O67" s="13" t="inlineStr">
        <is>
          <t>CAND-RUNTIME-METADATA-001</t>
        </is>
      </c>
      <c r="P67" s="13" t="inlineStr">
        <is>
          <t>Won't Fix</t>
        </is>
      </c>
      <c r="Q67" s="13" t="inlineStr">
        <is>
          <t>Pass</t>
        </is>
      </c>
      <c r="R67" s="13" t="inlineStr">
        <is>
          <t>Pass — Home served current committed static HTML with one Insights script, zero Next client chunks, expected metadata and content. Evidence: /tmp/portfolio-feature-audit/postfix/contact-system/home-static.png; /tmp/portfolio-feature-audit/postfix/contact-system/lane-c-trace.zip</t>
        </is>
      </c>
      <c r="S67" s="13" t="inlineStr"/>
      <c r="T67" s="13" t="inlineStr">
        <is>
          <t>Unassigned</t>
        </is>
      </c>
      <c r="U67" s="18" t="n">
        <v>46257</v>
      </c>
      <c r="V67" s="18" t="n">
        <v>46257.6050925926</v>
      </c>
    </row>
    <row r="68">
      <c r="A68" s="13" t="inlineStr">
        <is>
          <t>PF-OPS-002</t>
        </is>
      </c>
      <c r="B68" s="13" t="inlineStr">
        <is>
          <t>Code Inventory</t>
        </is>
      </c>
      <c r="C68" s="13" t="inlineStr">
        <is>
          <t>Static home cache/security</t>
        </is>
      </c>
      <c r="D68" s="13" t="inlineStr">
        <is>
          <t>Browser/CDN</t>
        </is>
      </c>
      <c r="E68" s="13" t="inlineStr">
        <is>
          <t>As a browser/CDN, I want immutable assets and secure HTML.</t>
        </is>
      </c>
      <c r="F68" s="13" t="inlineStr">
        <is>
          <t>Hashed static home files exist.</t>
        </is>
      </c>
      <c r="G68" s="13" t="inlineStr">
        <is>
          <t>Request home/static asset.</t>
        </is>
      </c>
      <c r="H68" s="13" t="inlineStr">
        <is>
          <t>HTML gets year-long shared cache + 1-day SWR and strict CSP/security headers; hashed HTML/CSS get immutable one-year cache.</t>
        </is>
      </c>
      <c r="I68" s="13" t="inlineStr">
        <is>
          <t>Machine-level policy; static CSP allows only self/blob/data as declared and blocks framing.</t>
        </is>
      </c>
      <c r="J68" s="13" t="inlineStr">
        <is>
          <t>src/app/static-home-internal/route.ts:7-17; next.config.ts:26-40</t>
        </is>
      </c>
      <c r="K68" s="13" t="inlineStr">
        <is>
          <t>scripts/check-static-home-runtime.mjs:4-13; no direct header integration test</t>
        </is>
      </c>
      <c r="L68" s="13" t="inlineStr">
        <is>
          <t>Active</t>
        </is>
      </c>
      <c r="M68" s="13" t="inlineStr">
        <is>
          <t>Pass</t>
        </is>
      </c>
      <c r="N68" s="13" t="inlineStr">
        <is>
          <t>Pass — Home cache and CSP matched; hashed HTML/CSS privacy/cache behavior passed. Evidence: /tmp/portfolio-feature-audit/baseline/contact-system/system-evidence.md</t>
        </is>
      </c>
      <c r="O68" s="13" t="n"/>
      <c r="P68" s="13" t="inlineStr">
        <is>
          <t>Not Started</t>
        </is>
      </c>
      <c r="Q68" s="13" t="inlineStr">
        <is>
          <t>Pass</t>
        </is>
      </c>
      <c r="R68" s="13" t="inlineStr">
        <is>
          <t>Pass — Home shared cache/SWR, static CSP/security headers, and immutable content-addressed CSS cache matched expectations. Evidence: /tmp/portfolio-feature-audit/postfix/contact-system-report.md</t>
        </is>
      </c>
      <c r="S68" s="13" t="inlineStr"/>
      <c r="T68" s="13" t="inlineStr">
        <is>
          <t>Unassigned</t>
        </is>
      </c>
      <c r="U68" s="18" t="n">
        <v>46257</v>
      </c>
      <c r="V68" s="18" t="n">
        <v>46257.6050925926</v>
      </c>
    </row>
    <row r="69">
      <c r="A69" s="13" t="inlineStr">
        <is>
          <t>PF-OPS-003</t>
        </is>
      </c>
      <c r="B69" s="13" t="inlineStr">
        <is>
          <t>Code Inventory</t>
        </is>
      </c>
      <c r="C69" s="13" t="inlineStr">
        <is>
          <t>Static implementation URL privacy</t>
        </is>
      </c>
      <c r="D69" s="13" t="inlineStr">
        <is>
          <t>Visitor/crawler</t>
        </is>
      </c>
      <c r="E69" s="13" t="inlineStr">
        <is>
          <t>As a visitor/crawler, I should not browse implementation URLs.</t>
        </is>
      </c>
      <c r="F69" s="13" t="inlineStr">
        <is>
          <t>Request /static-home-internal or hashed static-home HTML directly.</t>
        </is>
      </c>
      <c r="G69" s="13" t="inlineStr">
        <is>
          <t>GET implementation path.</t>
        </is>
      </c>
      <c r="H69" s="13" t="inlineStr">
        <is>
          <t>308 redirect to /; matcher excludes framework/API assets as configured.</t>
        </is>
      </c>
      <c r="I69" s="13" t="inlineStr">
        <is>
          <t>Keeps crawlable surface canonical.</t>
        </is>
      </c>
      <c r="J69" s="13" t="inlineStr">
        <is>
          <t>src/proxy.ts:7-16,52-61</t>
        </is>
      </c>
      <c r="K69" s="13" t="inlineStr">
        <is>
          <t>src/proxy.test.ts:5-14</t>
        </is>
      </c>
      <c r="L69" s="13" t="inlineStr">
        <is>
          <t>Active</t>
        </is>
      </c>
      <c r="M69" s="13" t="inlineStr">
        <is>
          <t>Pass</t>
        </is>
      </c>
      <c r="N69" s="13" t="inlineStr">
        <is>
          <t>Pass — Both internal and hashed HTML paths returned 308 with Location /. Evidence: /tmp/portfolio-feature-audit/baseline/contact-system/system-evidence.md</t>
        </is>
      </c>
      <c r="O69" s="13" t="n"/>
      <c r="P69" s="13" t="inlineStr">
        <is>
          <t>Not Started</t>
        </is>
      </c>
      <c r="Q69" s="13" t="inlineStr">
        <is>
          <t>Pass</t>
        </is>
      </c>
      <c r="R69" s="13" t="inlineStr">
        <is>
          <t>Pass — Internal and current hashed static-home HTML implementation paths each returned 308 Location /. Evidence: /tmp/portfolio-feature-audit/postfix/contact-system-report.md</t>
        </is>
      </c>
      <c r="S69" s="13" t="inlineStr"/>
      <c r="T69" s="13" t="inlineStr">
        <is>
          <t>Unassigned</t>
        </is>
      </c>
      <c r="U69" s="18" t="n">
        <v>46257</v>
      </c>
      <c r="V69" s="18" t="n">
        <v>46257.6050925926</v>
      </c>
    </row>
    <row r="70">
      <c r="A70" s="13" t="inlineStr">
        <is>
          <t>PF-OPS-004</t>
        </is>
      </c>
      <c r="B70" s="13" t="inlineStr">
        <is>
          <t>Code Inventory</t>
        </is>
      </c>
      <c r="C70" s="13" t="inlineStr">
        <is>
          <t>Dynamic route CSP nonce</t>
        </is>
      </c>
      <c r="D70" s="13" t="inlineStr">
        <is>
          <t>Browser/security system</t>
        </is>
      </c>
      <c r="E70" s="13" t="inlineStr">
        <is>
          <t>As a browser, I want scripts constrained by per-request CSP.</t>
        </is>
      </c>
      <c r="F70" s="13" t="inlineStr">
        <is>
          <t>Request non-home matched route.</t>
        </is>
      </c>
      <c r="G70" s="13" t="inlineStr">
        <is>
          <t>Load page.</t>
        </is>
      </c>
      <c r="H70" s="13" t="inlineStr">
        <is>
          <t>Generate nonce, attach to request headers and response CSP; scripts require self + nonce + strict-dynamic; local dev alone permits unsafe-eval; images allow Microlink.</t>
        </is>
      </c>
      <c r="I70" s="13" t="inlineStr">
        <is>
          <t>Blocks objects/framing and restricts base/form; local HTTP omits upgrade directive.</t>
        </is>
      </c>
      <c r="J70" s="13" t="inlineStr">
        <is>
          <t>src/proxy.ts:18-49</t>
        </is>
      </c>
      <c r="K70" s="13" t="inlineStr">
        <is>
          <t>src/proxy.test.ts:15-35</t>
        </is>
      </c>
      <c r="L70" s="13" t="inlineStr">
        <is>
          <t>Active</t>
        </is>
      </c>
      <c r="M70" s="13" t="inlineStr">
        <is>
          <t>Pass</t>
        </is>
      </c>
      <c r="N70" s="13" t="inlineStr">
        <is>
          <t>Pass — All 21 body nonces matched the response nonce; directives and local HTTP behavior matched. Evidence: /tmp/portfolio-feature-audit/baseline/contact-system/system-evidence.md</t>
        </is>
      </c>
      <c r="O70" s="13" t="inlineStr">
        <is>
          <t>PERF-NAV-001</t>
        </is>
      </c>
      <c r="P70" s="13" t="inlineStr">
        <is>
          <t>Won't Fix</t>
        </is>
      </c>
      <c r="Q70" s="13" t="inlineStr">
        <is>
          <t>Pass</t>
        </is>
      </c>
      <c r="R70" s="13" t="inlineStr">
        <is>
          <t>Pass — Dynamic route response used a per-response nonce CSP with strict script policy; recorded integration verified all body nonce matches. Evidence: /tmp/portfolio-feature-audit/postfix/contact-system/lane-c-trace.zip; /tmp/portfolio-feature-audit/postfix/integration-report.md</t>
        </is>
      </c>
      <c r="S70" s="13" t="inlineStr"/>
      <c r="T70" s="13" t="inlineStr">
        <is>
          <t>Unassigned</t>
        </is>
      </c>
      <c r="U70" s="18" t="n">
        <v>46257</v>
      </c>
      <c r="V70" s="18" t="n">
        <v>46257.6050925926</v>
      </c>
    </row>
    <row r="71">
      <c r="A71" s="13" t="inlineStr">
        <is>
          <t>PF-OPS-005</t>
        </is>
      </c>
      <c r="B71" s="13" t="inlineStr">
        <is>
          <t>Code Inventory</t>
        </is>
      </c>
      <c r="C71" s="13" t="inlineStr">
        <is>
          <t>Site-wide security headers</t>
        </is>
      </c>
      <c r="D71" s="13" t="inlineStr">
        <is>
          <t>Browser/security system</t>
        </is>
      </c>
      <c r="E71" s="13" t="inlineStr">
        <is>
          <t>As a visitor, I want hardened responses.</t>
        </is>
      </c>
      <c r="F71" s="13" t="inlineStr">
        <is>
          <t>Any path matches Next headers.</t>
        </is>
      </c>
      <c r="G71" s="13" t="inlineStr">
        <is>
          <t>Load response.</t>
        </is>
      </c>
      <c r="H71" s="13" t="inlineStr">
        <is>
          <t>Disable camera/geolocation/microphone/payment; strict-origin referrer; two-year HSTS; nosniff.</t>
        </is>
      </c>
      <c r="I71" s="13" t="inlineStr">
        <is>
          <t>Operational security.</t>
        </is>
      </c>
      <c r="J71" s="13" t="inlineStr">
        <is>
          <t>next.config.ts:3-20,36-40; mirrored on static HTML src/app/static-home-internal/route.ts:12-16</t>
        </is>
      </c>
      <c r="K71" s="13" t="inlineStr">
        <is>
          <t>No direct integration test; CSP-focused unit tests only</t>
        </is>
      </c>
      <c r="L71" s="13" t="inlineStr">
        <is>
          <t>Active</t>
        </is>
      </c>
      <c r="M71" s="13" t="inlineStr">
        <is>
          <t>Pass</t>
        </is>
      </c>
      <c r="N71" s="13" t="inlineStr">
        <is>
          <t>Pass — All four header families matched locally and publicly. Evidence: /tmp/portfolio-feature-audit/baseline/contact-system/system-evidence.md</t>
        </is>
      </c>
      <c r="O71" s="13" t="n"/>
      <c r="P71" s="13" t="inlineStr">
        <is>
          <t>Not Started</t>
        </is>
      </c>
      <c r="Q71" s="13" t="inlineStr">
        <is>
          <t>Pass</t>
        </is>
      </c>
      <c r="R71" s="13" t="inlineStr">
        <is>
          <t>Pass — Expected Permissions, Referrer, HSTS, and nosniff headers appeared across Home, dynamic, metadata, and asset responses. Evidence: /tmp/portfolio-feature-audit/postfix/contact-system-report.md</t>
        </is>
      </c>
      <c r="S71" s="13" t="inlineStr"/>
      <c r="T71" s="13" t="inlineStr">
        <is>
          <t>Unassigned</t>
        </is>
      </c>
      <c r="U71" s="18" t="n">
        <v>46257</v>
      </c>
      <c r="V71" s="18" t="n">
        <v>46257.6050925926</v>
      </c>
    </row>
    <row r="72">
      <c r="A72" s="13" t="inlineStr">
        <is>
          <t>PF-OPS-006</t>
        </is>
      </c>
      <c r="B72" s="13" t="inlineStr">
        <is>
          <t>Code Inventory</t>
        </is>
      </c>
      <c r="C72" s="13" t="inlineStr">
        <is>
          <t>Analytics loading</t>
        </is>
      </c>
      <c r="D72" s="13" t="inlineStr">
        <is>
          <t>Site operator</t>
        </is>
      </c>
      <c r="E72" s="13" t="inlineStr">
        <is>
          <t>As an operator, I want page analytics on all route shells.</t>
        </is>
      </c>
      <c r="F72" s="13" t="inlineStr">
        <is>
          <t>Browser loads a route.</t>
        </is>
      </c>
      <c r="G72" s="13" t="inlineStr">
        <is>
          <t>Page rendered.</t>
        </is>
      </c>
      <c r="H72" s="13" t="inlineStr">
        <is>
          <t>Home/404 load deferred same-origin Insights script (nonce where dynamic); site routes mount Vercel Analytics React adapter.</t>
        </is>
      </c>
      <c r="I72" s="13" t="inlineStr">
        <is>
          <t>Analytics failure does not block primary behaviors; home avoids Next client chunks.</t>
        </is>
      </c>
      <c r="J72" s="13" t="inlineStr">
        <is>
          <t>src/app/(home)/layout.tsx:4-11; src/app/(site)/layout.tsx:2,53-54; src/app/not-found.tsx:31-32,102; scripts/render-static-home.tsx:18</t>
        </is>
      </c>
      <c r="K72" s="13" t="inlineStr">
        <is>
          <t>src/app/(home)/layout.test.tsx:19-35; src/app/(site)/layout.test.tsx:152-164; scripts/check-static-home-runtime.mjs:12</t>
        </is>
      </c>
      <c r="L72" s="13" t="inlineStr">
        <is>
          <t>Active</t>
        </is>
      </c>
      <c r="M72" s="13" t="inlineStr">
        <is>
          <t>Pass</t>
        </is>
      </c>
      <c r="N72" s="13" t="inlineStr">
        <is>
          <t>Pass — Public Insights script returned 200 JavaScript; site Analytics emitted Contact event; local static script 404 remained nonblocking and environment-only. Evidence: /tmp/portfolio-feature-audit/baseline/contact-system/system-evidence.md</t>
        </is>
      </c>
      <c r="O72" s="13" t="inlineStr">
        <is>
          <t>CAND-RUNTIME-ANALYTICS-001</t>
        </is>
      </c>
      <c r="P72" s="13" t="inlineStr">
        <is>
          <t>Won't Fix</t>
        </is>
      </c>
      <c r="Q72" s="13" t="inlineStr">
        <is>
          <t>Pass</t>
        </is>
      </c>
      <c r="R72" s="13" t="inlineStr">
        <is>
          <t>Pass — Home retained one Insights loader and Contact emitted the expected minimal custom event. Local Insights script 404 is a known nonblocking hosting limitation; recorded public delivery is 200 JavaScript. Evidence: /tmp/portfolio-feature-audit/postfix/contact-system/lane-c-trace.zip; /tmp/portfolio-feature-audit/postfix/integration-report.md</t>
        </is>
      </c>
      <c r="S72" s="13" t="inlineStr"/>
      <c r="T72" s="13" t="inlineStr">
        <is>
          <t>Unassigned</t>
        </is>
      </c>
      <c r="U72" s="18" t="n">
        <v>46257</v>
      </c>
      <c r="V72" s="18" t="n">
        <v>46257.6050925926</v>
      </c>
    </row>
    <row r="73">
      <c r="A73" s="13" t="inlineStr">
        <is>
          <t>PF-OPS-007</t>
        </is>
      </c>
      <c r="B73" s="13" t="inlineStr">
        <is>
          <t>Code Inventory</t>
        </is>
      </c>
      <c r="C73" s="13" t="inlineStr">
        <is>
          <t>Responsive image delivery</t>
        </is>
      </c>
      <c r="D73" s="13" t="inlineStr">
        <is>
          <t>Browser</t>
        </is>
      </c>
      <c r="E73" s="13" t="inlineStr">
        <is>
          <t>As a visitor, I want appropriately sized local images.</t>
        </is>
      </c>
      <c r="F73" s="13" t="inlineStr">
        <is>
          <t>Next image optimizer available.</t>
        </is>
      </c>
      <c r="G73" s="13" t="inlineStr">
        <is>
          <t>Load headshot/project preview.</t>
        </is>
      </c>
      <c r="H73" s="13" t="inlineStr">
        <is>
          <t>Emit optimizer URLs for 256-3840 widths, srcSet, authored sizes, async decoding, eager/high priority for priority images and lazy otherwise.</t>
        </is>
      </c>
      <c r="I73" s="13" t="inlineStr">
        <is>
          <t>Descriptive alt required by component contract; reduces bandwidth across sizes.</t>
        </is>
      </c>
      <c r="J73" s="13" t="inlineStr">
        <is>
          <t>src/components/ResponsiveImage.tsx:1-43; remote Microlink pattern next.config.ts:42-49</t>
        </is>
      </c>
      <c r="K73" s="13" t="inlineStr">
        <is>
          <t>Project image behavior src/components/__tests__/ProjectCard.test.tsx:79-93,151-159; no width-selection browser assertion</t>
        </is>
      </c>
      <c r="L73" s="13" t="inlineStr">
        <is>
          <t>Active</t>
        </is>
      </c>
      <c r="M73" s="13" t="inlineStr">
        <is>
          <t>Pass</t>
        </is>
      </c>
      <c r="N73" s="13" t="inlineStr">
        <is>
          <t>Pass — Markup and HTTP assets matched; unnecessary hidden/below-fold preloads confirm an existing performance candidate but not delivery failure. Evidence: /tmp/portfolio-feature-audit/baseline/contact-system/system/home-mobile-loading.png; /tmp/portfolio-feature-audit/baseline/contact-system/system-evidence.md</t>
        </is>
      </c>
      <c r="O73" s="13" t="inlineStr">
        <is>
          <t>PERF-IMG-001</t>
        </is>
      </c>
      <c r="P73" s="13" t="inlineStr">
        <is>
          <t>Fixed</t>
        </is>
      </c>
      <c r="Q73" s="13" t="inlineStr">
        <is>
          <t>Pass</t>
        </is>
      </c>
      <c r="R73" s="13" t="inlineStr">
        <is>
          <t>Pass — Responsive optimizer markup and image priorities were correct; hero alone eager/high, navigation/project imagery lazy/non-high; asset requests succeeded. Evidence: /tmp/portfolio-feature-audit/postfix/contact-system/home-static.png; /tmp/portfolio-feature-audit/postfix/integration-report.md</t>
        </is>
      </c>
      <c r="S73" s="13" t="inlineStr"/>
      <c r="T73" s="13" t="inlineStr">
        <is>
          <t>Unassigned</t>
        </is>
      </c>
      <c r="U73" s="18" t="n">
        <v>46257</v>
      </c>
      <c r="V73" s="18" t="n">
        <v>46257.6050925926</v>
      </c>
    </row>
    <row r="74">
      <c r="A74" s="13" t="inlineStr">
        <is>
          <t>PF-OPS-008</t>
        </is>
      </c>
      <c r="B74" s="13" t="inlineStr">
        <is>
          <t>Code Inventory</t>
        </is>
      </c>
      <c r="C74" s="13" t="inlineStr">
        <is>
          <t>Static home integrity pipeline</t>
        </is>
      </c>
      <c r="D74" s="13" t="inlineStr">
        <is>
          <t>Developer/CI</t>
        </is>
      </c>
      <c r="E74" s="13" t="inlineStr">
        <is>
          <t>As a maintainer, I want stale committed home output rejected.</t>
        </is>
      </c>
      <c r="F74" s="13" t="inlineStr">
        <is>
          <t>Run build/check scripts.</t>
        </is>
      </c>
      <c r="G74" s="13" t="inlineStr">
        <is>
          <t>npm run prebuild, build, check:static-home, or sync.</t>
        </is>
      </c>
      <c r="H74" s="13" t="inlineStr">
        <is>
          <t>Hash explicit source/assets/fonts; compile/minify CSS; server-render HTML; commit manifest; fail when inputs/outputs/cross-links/fonts/runtime invariants drift.</t>
        </is>
      </c>
      <c r="I74" s="13" t="inlineStr">
        <is>
          <t>Build-time behavior; generated home must have zero Next chunks and exactly one Insights script.</t>
        </is>
      </c>
      <c r="J74" s="13" t="inlineStr">
        <is>
          <t>package.json:5-15; scripts/static-home-assets-lib.mjs:6-82; scripts/sync-static-home-assets.mjs:10-36; scripts/check-static-home-assets.mjs:5-19; scripts/check-static-home-runtime.mjs:4-13</t>
        </is>
      </c>
      <c r="K74" s="13" t="inlineStr">
        <is>
          <t>scripts/check-static-home-assets.node-test.mjs:27-46</t>
        </is>
      </c>
      <c r="L74" s="13" t="inlineStr">
        <is>
          <t>Active</t>
        </is>
      </c>
      <c r="M74" s="13" t="inlineStr">
        <is>
          <t>Pass</t>
        </is>
      </c>
      <c r="N74" s="13" t="inlineStr">
        <is>
          <t>Pass — Prebuild, build runtime check, static tests, and check:static-home all passed with hash 209f3c04064b013e. Evidence: /tmp/portfolio-feature-audit/baseline/contact-system/validation-evidence.md</t>
        </is>
      </c>
      <c r="O74" s="13" t="inlineStr">
        <is>
          <t>CAND-RUNTIME-METADATA-001</t>
        </is>
      </c>
      <c r="P74" s="13" t="inlineStr">
        <is>
          <t>Won't Fix</t>
        </is>
      </c>
      <c r="Q74" s="13" t="inlineStr">
        <is>
          <t>Pass</t>
        </is>
      </c>
      <c r="R74" s="13" t="inlineStr">
        <is>
          <t>Pass — Current static-home asset/runtime check passed with input hash prefix 9210fbac0dc0b3bb; recorded clean build also passed. Evidence: /tmp/portfolio-feature-audit/postfix/contact-system-report.md; /tmp/portfolio-feature-audit/postfix/integration-report.md</t>
        </is>
      </c>
      <c r="S74" s="13" t="inlineStr"/>
      <c r="T74" s="13" t="inlineStr">
        <is>
          <t>Unassigned</t>
        </is>
      </c>
      <c r="U74" s="18" t="n">
        <v>46257</v>
      </c>
      <c r="V74" s="18" t="n">
        <v>46257.6050925926</v>
      </c>
    </row>
    <row r="75">
      <c r="A75" s="13" t="inlineStr">
        <is>
          <t>PF-OPS-009</t>
        </is>
      </c>
      <c r="B75" s="13" t="inlineStr">
        <is>
          <t>Code Inventory</t>
        </is>
      </c>
      <c r="C75" s="13" t="inlineStr">
        <is>
          <t>Self-hosted static fonts</t>
        </is>
      </c>
      <c r="D75" s="13" t="inlineStr">
        <is>
          <t>Browser/build system</t>
        </is>
      </c>
      <c r="E75" s="13" t="inlineStr">
        <is>
          <t>As a visitor, I want stable typography without third-party font requests.</t>
        </is>
      </c>
      <c r="F75" s="13" t="inlineStr">
        <is>
          <t>Static font files present and hashes valid.</t>
        </is>
      </c>
      <c r="G75" s="13" t="inlineStr">
        <is>
          <t>Load static home.</t>
        </is>
      </c>
      <c r="H75" s="13" t="inlineStr">
        <is>
          <t>Serve Fraunces/Manrope WOFF2 subsets with font-display: swap and metric-compatible fallbacks; reject missing/tampered fonts.</t>
        </is>
      </c>
      <c r="I75" s="13" t="inlineStr">
        <is>
          <t>Covers Latin/extended, Vietnamese, Cyrillic, Greek subsets as configured; avoids invisible text.</t>
        </is>
      </c>
      <c r="J75" s="13" t="inlineStr">
        <is>
          <t>scripts/static-home-fonts.mjs:5-34; public/static-home/fonts/*; src/lib/fonts.ts:1-13</t>
        </is>
      </c>
      <c r="K75" s="13" t="inlineStr">
        <is>
          <t>Integrity covered by scripts/check-static-home-assets.node-test.mjs:27-46; no visual font test</t>
        </is>
      </c>
      <c r="L75" s="13" t="inlineStr">
        <is>
          <t>Active</t>
        </is>
      </c>
      <c r="M75" s="13" t="inlineStr">
        <is>
          <t>Pass</t>
        </is>
      </c>
      <c r="N75" s="13" t="inlineStr">
        <is>
          <t>Pass — All authored font files and CSS declarations were present; static integrity passed. Evidence: /tmp/portfolio-feature-audit/baseline/contact-system/system-evidence.md; /tmp/portfolio-feature-audit/baseline/contact-system/validation-evidence.md</t>
        </is>
      </c>
      <c r="O75" s="13" t="n"/>
      <c r="P75" s="13" t="inlineStr">
        <is>
          <t>Not Started</t>
        </is>
      </c>
      <c r="Q75" s="13" t="inlineStr">
        <is>
          <t>Pass</t>
        </is>
      </c>
      <c r="R75" s="13" t="inlineStr">
        <is>
          <t>Pass — Self-hosted Fraunces/Manrope CSS and font-display swap remained; integrity check validated font hashes. Evidence: /tmp/portfolio-feature-audit/postfix/contact-system/home-static.png; /tmp/portfolio-feature-audit/postfix/integration-report.md</t>
        </is>
      </c>
      <c r="S75" s="13" t="inlineStr"/>
      <c r="T75" s="13" t="inlineStr">
        <is>
          <t>Unassigned</t>
        </is>
      </c>
      <c r="U75" s="18" t="n">
        <v>46257</v>
      </c>
      <c r="V75" s="18" t="n">
        <v>46257.6050925926</v>
      </c>
    </row>
    <row r="76">
      <c r="A76" s="13" t="inlineStr">
        <is>
          <t>PF-OPS-010</t>
        </is>
      </c>
      <c r="B76" s="13" t="inlineStr">
        <is>
          <t>Code Inventory</t>
        </is>
      </c>
      <c r="C76" s="13" t="inlineStr">
        <is>
          <t>Automated quality gates</t>
        </is>
      </c>
      <c r="D76" s="13" t="inlineStr">
        <is>
          <t>Developer/CI</t>
        </is>
      </c>
      <c r="E76" s="13" t="inlineStr">
        <is>
          <t>As a maintainer, I want repeatable validation.</t>
        </is>
      </c>
      <c r="F76" s="13" t="inlineStr">
        <is>
          <t>Dependencies installed.</t>
        </is>
      </c>
      <c r="G76" s="13" t="inlineStr">
        <is>
          <t>Run scripts.</t>
        </is>
      </c>
      <c r="H76" s="13" t="inlineStr">
        <is>
          <t>lint ESLint; test Vitest/jsdom max 2 workers excluding E2E; test:e2e Playwright Chromium one worker with failure artifacts; build Next + static runtime check.</t>
        </is>
      </c>
      <c r="I76" s="13" t="inlineStr">
        <is>
          <t>E2E explicitly covers mobile 390, tablet 768, desktop 1440 nav; contact mobile; projects desktop.</t>
        </is>
      </c>
      <c r="J76" s="13" t="inlineStr">
        <is>
          <t>package.json:5-15; vitest.config.ts:5-18; playwright.config.ts:9-43; playwright.config.helpers.ts:1-8</t>
        </is>
      </c>
      <c r="K76" s="13" t="inlineStr">
        <is>
          <t>Config classifier playwright.config.test.ts:5-13; E2E specs e2e/*.spec.ts</t>
        </is>
      </c>
      <c r="L76" s="13" t="inlineStr">
        <is>
          <t>Active</t>
        </is>
      </c>
      <c r="M76" s="13" t="inlineStr">
        <is>
          <t>Pass</t>
        </is>
      </c>
      <c r="N76" s="13" t="inlineStr">
        <is>
          <t>Pass — 145 unit, 2 static, and 6 E2E tests passed; lint passed with one existing warning; clean tsc and build passed. Cross-engine/mode coverage remains a confirmed QA candidate. Evidence: /tmp/portfolio-feature-audit/baseline/contact-system/validation-evidence.md</t>
        </is>
      </c>
      <c r="O76" s="13" t="inlineStr">
        <is>
          <t>QA-A11Y-001</t>
        </is>
      </c>
      <c r="P76" s="13" t="inlineStr">
        <is>
          <t>Fixed</t>
        </is>
      </c>
      <c r="Q76" s="13" t="inlineStr">
        <is>
          <t>Pass</t>
        </is>
      </c>
      <c r="R76" s="13" t="inlineStr">
        <is>
          <t>Pass — Recorded final gates: 156/156 unit, 3/3 static, typecheck/build/static integrity, and 18/18 browser tests across Chromium/Firefox/WebKit. Current config includes the three browser projects and focused accessibility spec. Evidence: /tmp/portfolio-feature-audit/postfix/integration-report.md; /tmp/portfolio-feature-audit/postfix/validation-results.json</t>
        </is>
      </c>
      <c r="S76" s="13" t="inlineStr"/>
      <c r="T76" s="13" t="inlineStr">
        <is>
          <t>Unassigned</t>
        </is>
      </c>
      <c r="U76" s="18" t="n">
        <v>46257</v>
      </c>
      <c r="V76" s="18" t="n">
        <v>46257.6050925926</v>
      </c>
    </row>
    <row r="77">
      <c r="A77" s="13" t="inlineStr">
        <is>
          <t>PF-OPS-011</t>
        </is>
      </c>
      <c r="B77" s="13" t="inlineStr">
        <is>
          <t>Code Inventory</t>
        </is>
      </c>
      <c r="C77" s="13" t="inlineStr">
        <is>
          <t>Public asset catalog</t>
        </is>
      </c>
      <c r="D77" s="13" t="inlineStr">
        <is>
          <t>Browser</t>
        </is>
      </c>
      <c r="E77" s="13" t="inlineStr">
        <is>
          <t>As a visitor, I want the authored media used by the portfolio.</t>
        </is>
      </c>
      <c r="F77" s="13" t="inlineStr">
        <is>
          <t>Asset request.</t>
        </is>
      </c>
      <c r="G77" s="13" t="inlineStr">
        <is>
          <t>Load icon/headshot/project preview.</t>
        </is>
      </c>
      <c r="H77" s="13" t="inlineStr">
        <is>
          <t>Serve favicon, headshot, and seven project-preview JPGs; static-home HTML/CSS/fonts are content-addressed.</t>
        </is>
      </c>
      <c r="I77" s="13" t="inlineStr">
        <is>
          <t>Image components provide alt except decorative fallbacks; favicon linked by static renderer.</t>
        </is>
      </c>
      <c r="J77" s="13" t="inlineStr">
        <is>
          <t>public/favicon via src/app/favicon.ico; public/headshot.jpg; public/project-previews/*; scripts/render-static-home.tsx:17; catalog references src/data/projects.ts:24-87</t>
        </is>
      </c>
      <c r="K77" s="13" t="inlineStr">
        <is>
          <t>Project catalog required fields/assets partly covered by src/data/__tests__/projects.test.ts:14-134; no file-existence unit test outside static hash pipeline</t>
        </is>
      </c>
      <c r="L77" s="13" t="inlineStr">
        <is>
          <t>Active</t>
        </is>
      </c>
      <c r="M77" s="13" t="inlineStr">
        <is>
          <t>Pass</t>
        </is>
      </c>
      <c r="N77" s="13" t="inlineStr">
        <is>
          <t>Pass — All nine asset requests returned 200 with correct MIME and nonzero bytes; content-addressed artifacts verified. Evidence: /tmp/portfolio-feature-audit/baseline/contact-system/system-evidence.md</t>
        </is>
      </c>
      <c r="O77" s="13" t="n"/>
      <c r="P77" s="13" t="inlineStr">
        <is>
          <t>Not Started</t>
        </is>
      </c>
      <c r="Q77" s="13" t="inlineStr">
        <is>
          <t>Pass</t>
        </is>
      </c>
      <c r="R77" s="13" t="inlineStr">
        <is>
          <t>Pass — Favicon, headshot, and seven project preview files returned 9/9 HTTP 200 with correct MIME and nonzero bytes. Evidence: /tmp/portfolio-feature-audit/postfix/contact-system-report.md</t>
        </is>
      </c>
      <c r="S77" s="13" t="inlineStr"/>
      <c r="T77" s="13" t="inlineStr">
        <is>
          <t>Unassigned</t>
        </is>
      </c>
      <c r="U77" s="18" t="n">
        <v>46257</v>
      </c>
      <c r="V77" s="18" t="n">
        <v>46257.6050925926</v>
      </c>
    </row>
    <row r="78">
      <c r="A78" s="13" t="inlineStr">
        <is>
          <t>PF-OPS-012</t>
        </is>
      </c>
      <c r="B78" s="13" t="inlineStr">
        <is>
          <t>Code Inventory</t>
        </is>
      </c>
      <c r="C78" s="13" t="inlineStr">
        <is>
          <t>Dormant Three.js subsystem</t>
        </is>
      </c>
      <c r="D78" s="13" t="inlineStr">
        <is>
          <t>Maintainer (not current visitor)</t>
        </is>
      </c>
      <c r="E78" s="13" t="inlineStr">
        <is>
          <t>As a maintainer, I want legacy WebGL code identified accurately.</t>
        </is>
      </c>
      <c r="F78" s="13" t="inlineStr">
        <is>
          <t>ThreeScene is imported/mounted (it currently is not; AnimatedBackground deliberately replaced it).</t>
        </is>
      </c>
      <c r="G78" s="13" t="inlineStr">
        <is>
          <t>Mount component.</t>
        </is>
      </c>
      <c r="H78" s="13" t="inlineStr">
        <is>
          <t>Would create a pointer-reactive Three.js scene, pause/resume per interactivity state, debounce resize, cap DPR/delta, render a static gradient if setup fails, and dispose resources. Current production shell renders CSS ambient background instead.</t>
        </is>
      </c>
      <c r="I78" s="13" t="inlineStr">
        <is>
          <t>Container is pointer-events none; failure keeps fallback; motion lifecycle tested. Not an active user-visible feature.</t>
        </is>
      </c>
      <c r="J78" s="13" t="inlineStr">
        <is>
          <t>src/components/ThreeScene.tsx:1-22; src/hooks/three/useThreeScene.ts:8-64; src/hooks/three/useThreeBase.ts:8-79; src/hooks/three/useThreeAnimation.ts:18-116; active replacement src/components/AnimatedBackground.tsx:1-14</t>
        </is>
      </c>
      <c r="K78" s="13" t="inlineStr">
        <is>
          <t>src/components/__tests__/AnimatedBackground.test.tsx:17-24; src/components/__tests__/ThreeScene*.test.tsx; src/hooks/three/__tests__/*.test.ts</t>
        </is>
      </c>
      <c r="L78" s="13" t="inlineStr">
        <is>
          <t>Inactive / Dormant</t>
        </is>
      </c>
      <c r="M78" s="13" t="inlineStr">
        <is>
          <t>Pass</t>
        </is>
      </c>
      <c r="N78" s="13" t="inlineStr">
        <is>
          <t>Pass — No active production import/mount exists; lifecycle/failure/performance tests passed in the unit suite. Evidence: /tmp/portfolio-feature-audit/baseline/contact-system/system-evidence.md; /tmp/portfolio-feature-audit/baseline/contact-system/validation-evidence.md</t>
        </is>
      </c>
      <c r="O78" s="13" t="n"/>
      <c r="P78" s="13" t="inlineStr">
        <is>
          <t>Not Started</t>
        </is>
      </c>
      <c r="Q78" s="13" t="inlineStr">
        <is>
          <t>Pass</t>
        </is>
      </c>
      <c r="R78" s="13" t="inlineStr">
        <is>
          <t>Pass — Active Home had AnimatedBackground and zero canvas/Three.js mounts; recorded unit/integration coverage validates dormant lifecycle and cleanup. Evidence: /tmp/portfolio-feature-audit/postfix/contact-system/home-static.png; /tmp/portfolio-feature-audit/postfix/integration-report.md</t>
        </is>
      </c>
      <c r="S78" s="13" t="inlineStr">
        <is>
          <t>Dormant, unmounted Three.js subsystem retained for code-inventory completeness.</t>
        </is>
      </c>
      <c r="T78" s="13" t="inlineStr">
        <is>
          <t>Unassigned</t>
        </is>
      </c>
      <c r="U78" s="18" t="n">
        <v>46257</v>
      </c>
      <c r="V78" s="18" t="n">
        <v>46257.6050925926</v>
      </c>
    </row>
  </sheetData>
  <autoFilter ref="A1:V78"/>
  <conditionalFormatting sqref="M2:M79">
    <cfRule type="expression" priority="1" dxfId="0">
      <formula>M2="Not Run"</formula>
    </cfRule>
    <cfRule type="expression" priority="2" dxfId="1">
      <formula>M2="Pass"</formula>
    </cfRule>
    <cfRule type="expression" priority="3" dxfId="2">
      <formula>M2="Pass with caveat"</formula>
    </cfRule>
    <cfRule type="expression" priority="4" dxfId="3">
      <formula>M2="Fail"</formula>
    </cfRule>
    <cfRule type="expression" priority="5" dxfId="5">
      <formula>M2="Blocked"</formula>
    </cfRule>
  </conditionalFormatting>
  <conditionalFormatting sqref="Q2:Q79">
    <cfRule type="expression" priority="6" dxfId="0">
      <formula>Q2="Not Run"</formula>
    </cfRule>
    <cfRule type="expression" priority="7" dxfId="1">
      <formula>Q2="Pass"</formula>
    </cfRule>
    <cfRule type="expression" priority="8" dxfId="2">
      <formula>Q2="Pass with caveat"</formula>
    </cfRule>
    <cfRule type="expression" priority="9" dxfId="3">
      <formula>Q2="Fail"</formula>
    </cfRule>
    <cfRule type="expression" priority="10" dxfId="5">
      <formula>Q2="Blocked"</formula>
    </cfRule>
  </conditionalFormatting>
  <conditionalFormatting sqref="P2:P79">
    <cfRule type="expression" priority="11" dxfId="0">
      <formula>P2="Not Started"</formula>
    </cfRule>
    <cfRule type="expression" priority="12" dxfId="5">
      <formula>P2="In Progress"</formula>
    </cfRule>
    <cfRule type="expression" priority="13" dxfId="1">
      <formula>P2="Fixed"</formula>
    </cfRule>
    <cfRule type="expression" priority="14" dxfId="2">
      <formula>P2="Deferred"</formula>
    </cfRule>
    <cfRule type="expression" priority="15" dxfId="3">
      <formula>P2="Won't Fix"</formula>
    </cfRule>
  </conditionalFormatting>
  <conditionalFormatting sqref="L2:L79">
    <cfRule type="expression" priority="16" dxfId="0">
      <formula>L2="Inactive / Dormant"</formula>
    </cfRule>
  </conditionalFormatting>
  <dataValidations count="6">
    <dataValidation sqref="B2:B79" showDropDown="0" showInputMessage="1" showErrorMessage="1" allowBlank="0" errorTitle="Invalid value" error="Choose a value from the approved list." promptTitle="Controlled field" prompt="Feature discovery phase" type="list">
      <formula1>FeaturePhases</formula1>
    </dataValidation>
    <dataValidation sqref="L2:L79" showDropDown="0" showInputMessage="1" showErrorMessage="1" allowBlank="0" errorTitle="Invalid value" error="Choose a value from the approved list." promptTitle="Controlled field" prompt="Mounted or dormant operational state" type="list">
      <formula1>ActivationStates</formula1>
    </dataValidation>
    <dataValidation sqref="M2:M79" showDropDown="0" showInputMessage="1" showErrorMessage="1" allowBlank="0" errorTitle="Invalid value" error="Choose a value from the approved list." promptTitle="Controlled field" prompt="Baseline verification result" type="list">
      <formula1>VerificationStatuses</formula1>
    </dataValidation>
    <dataValidation sqref="P2:P79" showDropDown="0" showInputMessage="1" showErrorMessage="1" allowBlank="0" errorTitle="Invalid value" error="Choose a value from the approved list." promptTitle="Controlled field" prompt="Fix implementation status" type="list">
      <formula1>FixStatuses</formula1>
    </dataValidation>
    <dataValidation sqref="Q2:Q79" showDropDown="0" showInputMessage="1" showErrorMessage="1" allowBlank="0" errorTitle="Invalid value" error="Choose a value from the approved list." promptTitle="Controlled field" prompt="Post-fix verification result" type="list">
      <formula1>VerificationStatuses</formula1>
    </dataValidation>
    <dataValidation sqref="T2:T79" showDropDown="0" showInputMessage="1" showErrorMessage="1" allowBlank="0" errorTitle="Invalid value" error="Choose a value from the approved list." promptTitle="Controlled field" prompt="Accountable owner" type="list">
      <formula1>Owners</formula1>
    </dataValidation>
  </dataValidations>
  <pageMargins left="0.75" right="0.75" top="1" bottom="1" header="0.5" footer="0.5"/>
  <pageSetup orientation="landscape" paperSize="8" fitToHeight="0" fitToWidth="4" pageOrder="overThenDown"/>
  <headerFooter>
    <oddHeader>&amp;LFeatures</oddHeader>
    <oddFooter>&amp;CPage &amp;P of &amp;N&amp;RPortfolio Feature Ledger</oddFooter>
    <evenHeader/>
    <evenFooter/>
    <firstHeader/>
    <firstFooter/>
  </headerFooter>
</worksheet>
</file>

<file path=xl/worksheets/sheet3.xml><?xml version="1.0" encoding="utf-8"?>
<worksheet xmlns="http://schemas.openxmlformats.org/spreadsheetml/2006/main">
  <sheetPr>
    <tabColor rgb="007030A0"/>
    <outlinePr summaryBelow="1" summaryRight="1"/>
    <pageSetUpPr fitToPage="1"/>
  </sheetPr>
  <dimension ref="A1:R14"/>
  <sheetViews>
    <sheetView showGridLines="0" zoomScale="80"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5" customWidth="1" min="3" max="3"/>
    <col width="12" customWidth="1" min="4" max="4"/>
    <col width="28" customWidth="1" min="5" max="5"/>
    <col width="30" customWidth="1" min="6" max="6"/>
    <col width="44" customWidth="1" min="7" max="7"/>
    <col width="48" customWidth="1" min="8" max="8"/>
    <col width="48" customWidth="1" min="9" max="9"/>
    <col width="44" customWidth="1" min="10" max="10"/>
    <col width="52" customWidth="1" min="11" max="11"/>
    <col width="46" customWidth="1" min="12" max="12"/>
    <col width="24" customWidth="1" min="13" max="13"/>
    <col width="28" customWidth="1" min="14" max="14"/>
    <col width="16" customWidth="1" min="15" max="15"/>
    <col width="19" customWidth="1" min="16" max="16"/>
    <col width="19" customWidth="1" min="17" max="17"/>
    <col width="48" customWidth="1" min="18" max="18"/>
  </cols>
  <sheetData>
    <row r="1" ht="34" customHeight="1">
      <c r="A1" s="7" t="inlineStr">
        <is>
          <t>Defect ID</t>
        </is>
      </c>
      <c r="B1" s="7" t="inlineStr">
        <is>
          <t>Phase</t>
        </is>
      </c>
      <c r="C1" s="7" t="inlineStr">
        <is>
          <t>Status</t>
        </is>
      </c>
      <c r="D1" s="7" t="inlineStr">
        <is>
          <t>Severity</t>
        </is>
      </c>
      <c r="E1" s="7" t="inlineStr">
        <is>
          <t>Category</t>
        </is>
      </c>
      <c r="F1" s="7" t="inlineStr">
        <is>
          <t>Route / Feature</t>
        </is>
      </c>
      <c r="G1" s="7" t="inlineStr">
        <is>
          <t>Title</t>
        </is>
      </c>
      <c r="H1" s="7" t="inlineStr">
        <is>
          <t>User Impact</t>
        </is>
      </c>
      <c r="I1" s="7" t="inlineStr">
        <is>
          <t>Reproduction / Verification</t>
        </is>
      </c>
      <c r="J1" s="7" t="inlineStr">
        <is>
          <t>Expected Behavior</t>
        </is>
      </c>
      <c r="K1" s="7" t="inlineStr">
        <is>
          <t>Recommended Correction</t>
        </is>
      </c>
      <c r="L1" s="7" t="inlineStr">
        <is>
          <t>Source Evidence</t>
        </is>
      </c>
      <c r="M1" s="7" t="inlineStr">
        <is>
          <t>Suggested Command</t>
        </is>
      </c>
      <c r="N1" s="7" t="inlineStr">
        <is>
          <t>WCAG / Standard</t>
        </is>
      </c>
      <c r="O1" s="7" t="inlineStr">
        <is>
          <t>Owner</t>
        </is>
      </c>
      <c r="P1" s="7" t="inlineStr">
        <is>
          <t>Created At</t>
        </is>
      </c>
      <c r="Q1" s="7" t="inlineStr">
        <is>
          <t>Updated At</t>
        </is>
      </c>
      <c r="R1" s="7" t="inlineStr">
        <is>
          <t>Source Artifact</t>
        </is>
      </c>
    </row>
    <row r="2">
      <c r="A2" s="13" t="inlineStr">
        <is>
          <t>UX-CONTACT-001</t>
        </is>
      </c>
      <c r="B2" s="13" t="inlineStr">
        <is>
          <t>Static UX Audit</t>
        </is>
      </c>
      <c r="C2" s="13" t="inlineStr">
        <is>
          <t>Verified</t>
        </is>
      </c>
      <c r="D2" s="13" t="inlineStr">
        <is>
          <t>Medium</t>
        </is>
      </c>
      <c r="E2" s="13" t="inlineStr">
        <is>
          <t>Error state / external protocol behavior</t>
        </is>
      </c>
      <c r="F2" s="13" t="inlineStr">
        <is>
          <t>/contact → “Prepare email draft”</t>
        </is>
      </c>
      <c r="G2" s="13" t="inlineStr">
        <is>
          <t>Contact form reports success without evidence that a draft opened</t>
        </is>
      </c>
      <c r="H2" s="13" t="inlineStr">
        <is>
          <t>A browser with no registered mail handler, a blocked external-protocol launch, or a platform that ignores the detached-anchor click receives a green success state even though no draft exists. Users may wait for a draft that will never appear or abandon the inquiry.</t>
        </is>
      </c>
      <c r="I2" s="13" t="inlineStr">
        <is>
          <t>On a profile with no mailto: handler, complete the form and activate “Prepare email draft.” The code calls draftLink.click() and immediately runs setStatus("success"); no observable launch signal is checked. The current E2E interception proves the UI can enter success after an intentionally no-op click.</t>
        </is>
      </c>
      <c r="J2" s="13" t="inlineStr">
        <is>
          <t>The UI should not claim a successful outcome it cannot observe. It should present a neutral “draft link opened/was requested” state plus persistent recovery actions (direct email link, copy address, or copy full draft), and it should distinguish validation failure from protocol-launch uncertainty.</t>
        </is>
      </c>
      <c r="K2" s="13" t="inlineStr">
        <is>
          <t>Replace success with a neutral ready/requested state; render the mailto as a real user-activated anchor or expose the generated link; keep a visible copy-email/copy-draft fallback; use a separate error message for validation versus launch construction failures.; Implemented and independently verified; retain the cited regression coverage.</t>
        </is>
      </c>
      <c r="L2" s="13" t="inlineStr">
        <is>
          <t>src/components/ContactComposer.tsx:145-159, src/components/ContactComposer.tsx:162-176; the E2E test explicitly suppresses the mailto action yet still expects success at e2e/contact.spec.ts:18-21 and e2e/contact.spec.ts:53-57.; Baseline confirmed: a safely intercepted no-op mailto click immediately produced success messaging although no mail app opened. Evidence: /tmp/portfolio-feature-audit/baseline/contact-system/contact-interactions.md; Fixed/Verified: neutral requested/nothing-sent handoff and fallback actions passed.; Linked Feature IDs: PF-CONTACT-009, PF-CONTACT-011</t>
        </is>
      </c>
      <c r="M2" s="13" t="inlineStr">
        <is>
          <t>/harden</t>
        </is>
      </c>
      <c r="N2" s="13" t="inlineStr"/>
      <c r="O2" s="13" t="inlineStr">
        <is>
          <t>Unassigned</t>
        </is>
      </c>
      <c r="P2" s="18" t="n">
        <v>46257</v>
      </c>
      <c r="Q2" s="18" t="n">
        <v>46257.6050925926</v>
      </c>
      <c r="R2" s="13" t="inlineStr">
        <is>
          <t>/tmp/portfolio-feature-audit/static-ux-audit.md; /tmp/portfolio-feature-audit/baseline/contact-system-report.md; /tmp/portfolio-feature-audit/postfix/contact-system-results.json; /tmp/portfolio-feature-audit/fix/contact-fixes.md; /tmp/portfolio-feature-audit/postfix/integration-report.md</t>
        </is>
      </c>
    </row>
    <row r="3">
      <c r="A3" s="13" t="inlineStr">
        <is>
          <t>UX-CONTACT-002</t>
        </is>
      </c>
      <c r="B3" s="13" t="inlineStr">
        <is>
          <t>Static UX Audit</t>
        </is>
      </c>
      <c r="C3" s="13" t="inlineStr">
        <is>
          <t>Verified</t>
        </is>
      </c>
      <c r="D3" s="13" t="inlineStr">
        <is>
          <t>Medium</t>
        </is>
      </c>
      <c r="E3" s="13" t="inlineStr">
        <is>
          <t>Resilience / data entry</t>
        </is>
      </c>
      <c r="F3" s="13" t="inlineStr">
        <is>
          <t>/contact contact composer</t>
        </is>
      </c>
      <c r="G3" s="13" t="inlineStr">
        <is>
          <t>Unbounded fields can generate mailto URLs too long for browsers or mail clients</t>
        </is>
      </c>
      <c r="H3" s="13" t="inlineStr">
        <is>
          <t>Long names, email values, or project descriptions can create a very large encoded URL. Platform-specific URL/protocol-handler limits can truncate the draft, refuse to launch it, or drop body content with no reliable feedback.</t>
        </is>
      </c>
      <c r="I3" s="13" t="inlineStr">
        <is>
          <t>Paste a multi-thousand-character message, submit, and inspect buildContactMailtoUrl; its length grows without a ceiling. Repeat on Safari, iOS, Outlook, and Windows default-mail configurations to establish actual thresholds.</t>
        </is>
      </c>
      <c r="J3" s="13" t="inlineStr">
        <is>
          <t>The product should either enforce and communicate a safe payload budget or submit through a real endpoint that is not constrained by URL length.</t>
        </is>
      </c>
      <c r="K3" s="13" t="inlineStr">
        <is>
          <t>Add explicit per-field maxima and a visible message character counter; validate the final encoded URL length; provide a copy-full-draft fallback. For unrestricted inquiries, replace mailto: composition with a server-backed form and preserve the “nothing sends automatically” promise only if that remains true.; Implemented and independently verified; retain the cited regression coverage.</t>
        </is>
      </c>
      <c r="L3" s="13" t="inlineStr">
        <is>
          <t>src/components/ContactComposer.tsx:51-67 builds the entire submission into a URL; src/components/ContactComposer.tsx:260-272 renders the message textarea with no maxLength; validation at src/components/ContactComposer.tsx:398-439 enforces only a minimum message length.; Baseline confirmed: all text fields are unbounded; a 5,000-character message produced a 5,367-character mailto URL. Evidence: /tmp/portfolio-feature-audit/baseline/contact-system/contact-interactions.md; Fixed/Verified: field limits, counter, encoded URL guard, and rejection path passed.; Linked Feature IDs: PF-CONTACT-006, PF-CONTACT-007, PF-CONTACT-009</t>
        </is>
      </c>
      <c r="M3" s="13" t="inlineStr">
        <is>
          <t>/harden</t>
        </is>
      </c>
      <c r="N3" s="13" t="inlineStr"/>
      <c r="O3" s="13" t="inlineStr">
        <is>
          <t>Unassigned</t>
        </is>
      </c>
      <c r="P3" s="18" t="n">
        <v>46257</v>
      </c>
      <c r="Q3" s="18" t="n">
        <v>46257.6050925926</v>
      </c>
      <c r="R3" s="13" t="inlineStr">
        <is>
          <t>/tmp/portfolio-feature-audit/static-ux-audit.md; /tmp/portfolio-feature-audit/baseline/contact-system-report.md; /tmp/portfolio-feature-audit/postfix/contact-system-results.json; /tmp/portfolio-feature-audit/fix/contact-fixes.md; /tmp/portfolio-feature-audit/postfix/integration-report.md</t>
        </is>
      </c>
    </row>
    <row r="4">
      <c r="A4" s="13" t="inlineStr">
        <is>
          <t>PERF-IMG-001</t>
        </is>
      </c>
      <c r="B4" s="13" t="inlineStr">
        <is>
          <t>Static UX Audit</t>
        </is>
      </c>
      <c r="C4" s="13" t="inlineStr">
        <is>
          <t>Verified</t>
        </is>
      </c>
      <c r="D4" s="13" t="inlineStr">
        <is>
          <t>Medium</t>
        </is>
      </c>
      <c r="E4" s="13" t="inlineStr">
        <is>
          <t>Performance / loading priority</t>
        </is>
      </c>
      <c r="F4" s="13" t="inlineStr">
        <is>
          <t>Home, Projects, and shared desktop dock</t>
        </is>
      </c>
      <c r="G4" s="13" t="inlineStr">
        <is>
          <t>Hidden and below-fold images are eagerly preloaded</t>
        </is>
      </c>
      <c r="H4" s="13" t="inlineStr">
        <is>
          <t>On mobile, bytes and request priority are spent on a CSS-hidden desktop avatar. On Home and Projects, a project preview that follows substantial hero/filter content competes with the actual above-fold image, CSS, and fonts. This can delay LCP on slower connections.</t>
        </is>
      </c>
      <c r="I4" s="13" t="inlineStr">
        <is>
          <t>Load / and /projects on a cold, throttled mobile connection and inspect Network/Performance. Confirm the avatar and first project preview start before they are visible; compare LCP and priority waterfalls after making only the actual LCP image eager.</t>
        </is>
      </c>
      <c r="J4" s="13" t="inlineStr">
        <is>
          <t>Only the likely LCP image at the active breakpoint should preload. Hidden or below-fold media should be lazy and fetch when close to the viewport.</t>
        </is>
      </c>
      <c r="K4" s="13" t="inlineStr">
        <is>
          <t>Remove isFeatured as an automatic reason for priority; set priority explicitly per route and viewport intent. Do not mark the desktop-only sidebar avatar priority on mobile; consider a responsive preload media strategy or ordinary lazy loading for the tiny dock image.; Implemented and independently verified; retain the cited regression coverage.</t>
        </is>
      </c>
      <c r="L4" s="13" t="inlineStr">
        <is>
          <t>src/components/ProjectCard.tsx:108-115 makes every featured card eager; src/app/(home)/page.tsx:154-163 makes the first below-hero card featured; src/data/projects.ts:24-33 also marks the first project priority; src/components/Sidebar.tsx:12-22 marks the desktop-only avatar priority even though the entire aside is hidden below md; src/components/HomeNavigation.tsx:11-24 emits the same hidden-mobile avatar in the static home. The generated home document confirms head preloads for the dock avatar, hero headshot, and first project preview in public/static-home.36cfc4dac344389e.html:1.; Baseline observed hidden-mobile and below-fold eager/high requests, but no controlled cold/throttled LCP benchmark was run. Retain Candidate pending impact measurement. Evidence: /tmp/portfolio-feature-audit/baseline/core/home-390-dom.json; Promoted from Candidate, then Fixed/Verified: hidden/nav/project media is lazy/non-high while the Home hero alone remains eager/high.; Linked Feature IDs: PF-HOME-005, PF-HOME-007, PF-OPS-007, PF-PROJ-006, PF-PROJ-011</t>
        </is>
      </c>
      <c r="M4" s="13" t="inlineStr">
        <is>
          <t>/optimize</t>
        </is>
      </c>
      <c r="N4" s="13" t="inlineStr"/>
      <c r="O4" s="13" t="inlineStr">
        <is>
          <t>Unassigned</t>
        </is>
      </c>
      <c r="P4" s="18" t="n">
        <v>46257</v>
      </c>
      <c r="Q4" s="18" t="n">
        <v>46257.6050925926</v>
      </c>
      <c r="R4" s="13" t="inlineStr">
        <is>
          <t>/tmp/portfolio-feature-audit/static-ux-audit.md; /tmp/portfolio-feature-audit/baseline/reconciliation-report.md; /tmp/portfolio-feature-audit/fix/candidate-adjudication.md; /tmp/portfolio-feature-audit/fix/global-fixes.md; /tmp/portfolio-feature-audit/postfix/core-results.json; /tmp/portfolio-feature-audit/postfix/projects-results.json; /tmp/portfolio-feature-audit/postfix/integration-report.md</t>
        </is>
      </c>
    </row>
    <row r="5">
      <c r="A5" s="13" t="inlineStr">
        <is>
          <t>PERF-NAV-001</t>
        </is>
      </c>
      <c r="B5" s="13" t="inlineStr">
        <is>
          <t>Static UX Audit</t>
        </is>
      </c>
      <c r="C5" s="13" t="inlineStr">
        <is>
          <t>Closed</t>
        </is>
      </c>
      <c r="D5" s="13" t="inlineStr">
        <is>
          <t>Medium</t>
        </is>
      </c>
      <c r="E5" s="13" t="inlineStr">
        <is>
          <t>Perceived performance / navigation</t>
        </is>
      </c>
      <c r="F5" s="13" t="inlineStr">
        <is>
          <t>Internal navigation among /about, /projects, and /contact</t>
        </is>
      </c>
      <c r="G5" s="13" t="inlineStr">
        <is>
          <t>Dynamic, non-prefetched navigation has no loading feedback</t>
        </is>
      </c>
      <c r="H5" s="13" t="inlineStr">
        <is>
          <t>Under network/server latency, activating a primary navigation item can leave the current screen unchanged with no progress indication. Because prefetch is blanket-disabled and the routes are request-time rendered, the latency is paid after the click even for lightweight, mostly static pages.</t>
        </is>
      </c>
      <c r="I5" s="13" t="inlineStr">
        <is>
          <t>Throttle the network and add server latency, then move between About, Projects, and Contact. Measure click-to-first-visual-response and verify whether the current nav state changes before the response arrives.</t>
        </is>
      </c>
      <c r="J5" s="13" t="inlineStr">
        <is>
          <t>A navigation action should acknowledge immediately, and safe high-intent routes should be prefetched where compatible with the CSP/nonce architecture.</t>
        </is>
      </c>
      <c r="K5" s="13" t="inlineStr">
        <is>
          <t>No product correction authorized. Preserve this disposition as history and re-open only with new public, measured, or user-impact evidence.</t>
        </is>
      </c>
      <c r="L5" s="13" t="inlineStr">
        <is>
          <t>src/app/layout.tsx:9 forces dynamic rendering; src/app/(site)/layout.tsx:1-12 reads request headers; src/components/NavLink.tsx:53-60 disables prefetch for every internal Link; src/components/Sidebar.tsx:106-110 also disables prefetch on the primary CTA. There is no loading.tsx under src/app.; Baseline confirmed no loading boundary and an offline full-navigation fallback, but normal-production click-to-response impact was not benchmarked. Retain Candidate pending controlled cold/warm latency measurement. Evidence: /tmp/portfolio-feature-audit/baseline/core/nav-offline-console.txt; Closed/Rejected after adjudication: normal navigation passed and no measured production latency impact exists; the forced-offline browser error is outside the stated product contract.; Linked Feature IDs: PF-NAV-002, PF-NAV-003, PF-NAV-005, PF-OPS-004</t>
        </is>
      </c>
      <c r="M5" s="13" t="inlineStr">
        <is>
          <t>/optimize</t>
        </is>
      </c>
      <c r="N5" s="13" t="inlineStr"/>
      <c r="O5" s="13" t="inlineStr">
        <is>
          <t>Unassigned</t>
        </is>
      </c>
      <c r="P5" s="18" t="n">
        <v>46257</v>
      </c>
      <c r="Q5" s="18" t="n">
        <v>46257.6050925926</v>
      </c>
      <c r="R5" s="13" t="inlineStr">
        <is>
          <t>/tmp/portfolio-feature-audit/static-ux-audit.md; /tmp/portfolio-feature-audit/baseline/reconciliation-report.md; /tmp/portfolio-feature-audit/fix/candidate-adjudication.md</t>
        </is>
      </c>
    </row>
    <row r="6">
      <c r="A6" s="13" t="inlineStr">
        <is>
          <t>RESP-CONTACT-001</t>
        </is>
      </c>
      <c r="B6" s="13" t="inlineStr">
        <is>
          <t>Static UX Audit</t>
        </is>
      </c>
      <c r="C6" s="13" t="inlineStr">
        <is>
          <t>Verified</t>
        </is>
      </c>
      <c r="D6" s="13" t="inlineStr">
        <is>
          <t>Medium</t>
        </is>
      </c>
      <c r="E6" s="13" t="inlineStr">
        <is>
          <t>Responsive layout / navigation clearance</t>
        </is>
      </c>
      <c r="F6" s="13" t="inlineStr">
        <is>
          <t>/contact → contact composer explainer at desktop widths</t>
        </is>
      </c>
      <c r="G6" s="13" t="inlineStr">
        <is>
          <t>Sticky contact copy can sit beneath the fixed desktop dock</t>
        </is>
      </c>
      <c r="H6" s="13" t="inlineStr">
        <is>
          <t>Once the left column becomes sticky at lg, its top is 2rem from the viewport while the fixed dock extends roughly from 1rem to at least 5.75rem. The dock overlays the upper portion of the sticky heading/copy, reducing readability during form completion.</t>
        </is>
      </c>
      <c r="I6" s="13" t="inlineStr">
        <is>
          <t>At 1024–1440px width, scroll /contact until the “Draft first” column sticks. Compare its bounding box with the fixed dock; the dock's bottom should currently be below the sticky region's top.</t>
        </is>
      </c>
      <c r="J6" s="13" t="inlineStr">
        <is>
          <t>Sticky content should maintain visible clearance below the fixed dock, including safe-area inset.</t>
        </is>
      </c>
      <c r="K6" s="13" t="inlineStr">
        <is>
          <t>Reuse a shared desktop dock-clearance token (approximately the existing 9rem scroll padding) for lg:top-*, or remove sticky behavior when the viewport is too short. Add an E2E bounding-box assertion while scrolling, not only at initial page load.; Implemented and independently verified; retain the cited regression coverage.</t>
        </is>
      </c>
      <c r="L6" s="13" t="inlineStr">
        <is>
          <t>src/app/(site)/contact/page.tsx:104-123 uses lg:sticky lg:top-8; the desktop dock occupies the top of the viewport at src/components/Sidebar.tsx:12-14 with z-40, safe-area top padding, and a minimum 4.75rem rail. The equivalent home dock geometry is in src/components/HomeNavigation.tsx:11-12.; Baseline confirmed: at 1440px the sticky explainer overlapped the fixed dock by 74.41px. Evidence: /tmp/portfolio-feature-audit/baseline/contact-system/contact-interactions.md; Fixed/Verified: short-desktop sticky explainer cleared the dock by 52px with zero overlap.; Linked Feature IDs: PF-CONTACT-006, PF-SHELL-005</t>
        </is>
      </c>
      <c r="M6" s="13" t="inlineStr">
        <is>
          <t>/adapt</t>
        </is>
      </c>
      <c r="N6" s="13" t="inlineStr"/>
      <c r="O6" s="13" t="inlineStr">
        <is>
          <t>Unassigned</t>
        </is>
      </c>
      <c r="P6" s="18" t="n">
        <v>46257</v>
      </c>
      <c r="Q6" s="18" t="n">
        <v>46257.6050925926</v>
      </c>
      <c r="R6" s="13" t="inlineStr">
        <is>
          <t>/tmp/portfolio-feature-audit/static-ux-audit.md; /tmp/portfolio-feature-audit/baseline/contact-system-report.md; /tmp/portfolio-feature-audit/postfix/contact-system-results.json; /tmp/portfolio-feature-audit/fix/contact-fixes.md; /tmp/portfolio-feature-audit/postfix/integration-report.md</t>
        </is>
      </c>
    </row>
    <row r="7">
      <c r="A7" s="13" t="inlineStr">
        <is>
          <t>A11Y-EXT-001</t>
        </is>
      </c>
      <c r="B7" s="13" t="inlineStr">
        <is>
          <t>Static UX Audit</t>
        </is>
      </c>
      <c r="C7" s="13" t="inlineStr">
        <is>
          <t>Verified</t>
        </is>
      </c>
      <c r="D7" s="13" t="inlineStr">
        <is>
          <t>Low</t>
        </is>
      </c>
      <c r="E7" s="13" t="inlineStr">
        <is>
          <t>Accessibility / external-link behavior</t>
        </is>
      </c>
      <c r="F7" s="13" t="inlineStr">
        <is>
          <t>Shared dock/footer, Home, About, and Contact external links</t>
        </is>
      </c>
      <c r="G7" s="13" t="inlineStr">
        <is>
          <t>Most new-tab links do not announce the context change</t>
        </is>
      </c>
      <c r="H7" s="13" t="inlineStr">
        <is>
          <t>Screen-reader, magnification, cognitive, and keyboard users can be moved to a new browsing context without warning. The contact cards' arrow icon is aria-hidden, so it does not provide an accessible cue.</t>
        </is>
      </c>
      <c r="I7" s="13" t="inlineStr">
        <is>
          <t>Inspect the accessible names of GitHub, LinkedIn, Defendre Solutions, and Support links, then activate them. Their names omit “opens in a new tab” despite target="_blank".</t>
        </is>
      </c>
      <c r="J7" s="13" t="inlineStr">
        <is>
          <t>New-context behavior should be consistent and announced in the accessible name or adjacent explanatory text; alternatively, same-tab navigation should be the default.</t>
        </is>
      </c>
      <c r="K7" s="13" t="inlineStr">
        <is>
          <t>Centralize external links in a component that applies secure rel values and an sr-only new-tab disclosure. Use the ProjectCard accessible-name pattern consistently. Consider dropping target="_blank" where preserving the portfolio tab is not essential.; Implemented and independently verified; retain the cited regression coverage.</t>
        </is>
      </c>
      <c r="L7" s="13" t="inlineStr">
        <is>
          <t>Representative instances: src/components/HomeNavigation.tsx:51-55, src/components/Sidebar.tsx:92-103, src/components/HomeShell.tsx:11-13, src/app/(site)/layout.tsx:30-40, src/app/(home)/page.tsx:59-68, src/app/(site)/about/page.tsx:115-126, src/app/(site)/contact/page.tsx:141-178, and src/app/(site)/contact/page.tsx:197-209. ProjectCard demonstrates the desired disclosure at src/components/ProjectCard.tsx:194-210.; Baseline confirmed: shared/Home/About/Contact/404 new-tab names omit the context change while project cards disclose it. Evidence: /tmp/portfolio-feature-audit/baseline/core-results.json; /tmp/portfolio-feature-audit/baseline/contact-system-results.json; Fixed/Verified: Home/About/Contact/404/social/card names disclose new tabs and protected destinations passed.; Linked Feature IDs: PF-404-003, PF-ABOUT-002, PF-CONTACT-012, PF-CONTACT-014, PF-HOME-002, PF-NAV-006, PF-NAV-007, PF-PROJ-008</t>
        </is>
      </c>
      <c r="M7" s="13" t="inlineStr">
        <is>
          <t>/normalize</t>
        </is>
      </c>
      <c r="N7" s="13" t="inlineStr">
        <is>
          <t>WCAG change-of-context guidance (G201/advisory); not treated here as a confirmed WCAG A/AA failure.</t>
        </is>
      </c>
      <c r="O7" s="13" t="inlineStr">
        <is>
          <t>Unassigned</t>
        </is>
      </c>
      <c r="P7" s="18" t="n">
        <v>46257</v>
      </c>
      <c r="Q7" s="18" t="n">
        <v>46257.6050925926</v>
      </c>
      <c r="R7" s="13" t="inlineStr">
        <is>
          <t>/tmp/portfolio-feature-audit/static-ux-audit.md; /tmp/portfolio-feature-audit/baseline/reconciliation-report.md; /tmp/portfolio-feature-audit/postfix/core-results.json; /tmp/portfolio-feature-audit/postfix/projects-results.json; /tmp/portfolio-feature-audit/postfix/contact-system-results.json; /tmp/portfolio-feature-audit/fix/global-fixes.md; /tmp/portfolio-feature-audit/postfix/integration-report.md</t>
        </is>
      </c>
    </row>
    <row r="8">
      <c r="A8" s="13" t="inlineStr">
        <is>
          <t>A11Y-IMG-001</t>
        </is>
      </c>
      <c r="B8" s="13" t="inlineStr">
        <is>
          <t>Static UX Audit</t>
        </is>
      </c>
      <c r="C8" s="13" t="inlineStr">
        <is>
          <t>Verified</t>
        </is>
      </c>
      <c r="D8" s="13" t="inlineStr">
        <is>
          <t>Low</t>
        </is>
      </c>
      <c r="E8" s="13" t="inlineStr">
        <is>
          <t>Accessibility / content accuracy</t>
        </is>
      </c>
      <c r="F8" s="13" t="inlineStr">
        <is>
          <t>Home selected work and /projects cards for Traces</t>
        </is>
      </c>
      <c r="G8" s="13" t="inlineStr">
        <is>
          <t>Prototype preview alt text incorrectly calls the project live</t>
        </is>
      </c>
      <c r="H8" s="13" t="inlineStr">
        <is>
          <t>A screen-reader user receives status information that conflicts with the visible and semantic “Prototype” label, weakening trust in the project catalog.</t>
        </is>
      </c>
      <c r="I8" s="13" t="inlineStr">
        <is>
          <t>Inspect the Traces image alt text in the accessibility tree; it reads “Traces live project preview…” while the card status reads “Prototype.”</t>
        </is>
      </c>
      <c r="J8" s="13" t="inlineStr">
        <is>
          <t>Alt text should describe the image without inventing deployment state, or derive wording from the actual status prop.</t>
        </is>
      </c>
      <c r="K8" s="13" t="inlineStr">
        <is>
          <t>Prefer concise alt text such as “Preview of the Traces project,” leaving status to the adjacent text, or generate “live/prototype project preview” from status. Update the unit test to cover both statuses.; Implemented and independently verified; retain the cited regression coverage.</t>
        </is>
      </c>
      <c r="L8" s="13" t="inlineStr">
        <is>
          <t>src/components/ProjectCard.tsx:67-70 always constructs “live project preview”; src/data/projects.ts:52-59 marks Traces as Prototype. The incorrect wording is codified in src/components/__tests__/ProjectCard.test.tsx:79-90.; Baseline confirmed: Traces is visibly Prototype while its image alternative calls it a live project preview. Evidence: /tmp/portfolio-feature-audit/baseline/projects-results.json; Fixed/Verified: Traces remains Prototype and its preview alt is accurate/status-neutral.; Linked Feature IDs: PF-HOME-007, PF-PROJ-005, PF-PROJ-006, PF-PROJ-014</t>
        </is>
      </c>
      <c r="M8" s="13" t="inlineStr">
        <is>
          <t>/clarify</t>
        </is>
      </c>
      <c r="N8" s="13" t="inlineStr">
        <is>
          <t>WCAG 1.1.1 intent (text alternatives should be accurate).</t>
        </is>
      </c>
      <c r="O8" s="13" t="inlineStr">
        <is>
          <t>Unassigned</t>
        </is>
      </c>
      <c r="P8" s="18" t="n">
        <v>46257</v>
      </c>
      <c r="Q8" s="18" t="n">
        <v>46257.6050925926</v>
      </c>
      <c r="R8" s="13" t="inlineStr">
        <is>
          <t>/tmp/portfolio-feature-audit/static-ux-audit.md; /tmp/portfolio-feature-audit/baseline/reconciliation-report.md; /tmp/portfolio-feature-audit/postfix/core-results.json; /tmp/portfolio-feature-audit/postfix/projects-results.json; /tmp/portfolio-feature-audit/fix/global-fixes.md; /tmp/portfolio-feature-audit/postfix/integration-report.md</t>
        </is>
      </c>
    </row>
    <row r="9">
      <c r="A9" s="13" t="inlineStr">
        <is>
          <t>A11Y-CLIP-001</t>
        </is>
      </c>
      <c r="B9" s="13" t="inlineStr">
        <is>
          <t>Static UX Audit</t>
        </is>
      </c>
      <c r="C9" s="13" t="inlineStr">
        <is>
          <t>Verified</t>
        </is>
      </c>
      <c r="D9" s="13" t="inlineStr">
        <is>
          <t>Low</t>
        </is>
      </c>
      <c r="E9" s="13" t="inlineStr">
        <is>
          <t>Accessibility / clipboard error recovery</t>
        </is>
      </c>
      <c r="F9" s="13" t="inlineStr">
        <is>
          <t>/contact → Copy email</t>
        </is>
      </c>
      <c r="G9" s="13" t="inlineStr">
        <is>
          <t>Repeated clipboard failures are not re-announced</t>
        </is>
      </c>
      <c r="H9" s="13" t="inlineStr">
        <is>
          <t>The button explicitly changes to “Try copy again,” but if clipboard access remains unavailable, a second activation produces no DOM/text change and therefore may produce no new live-region announcement. Screen-reader users receive no confirmation that the retry failed.</t>
        </is>
      </c>
      <c r="I9" s="13" t="inlineStr">
        <is>
          <t>Disable navigator.clipboard, activate Copy email twice with a screen reader, and listen after the second activation. The first failure updates the status; the second repeats setStatus("error") with identical content.</t>
        </is>
      </c>
      <c r="J9" s="13" t="inlineStr">
        <is>
          <t>Every user-initiated retry should produce perceptible feedback, and the fallback action should remain clear.</t>
        </is>
      </c>
      <c r="K9" s="13" t="inlineStr">
        <is>
          <t>Track an attempt counter or briefly return to a pending state so the status message changes, and consider selecting/focusing the visible email address or exposing a direct mailto fallback after failure.; Implemented and independently verified; retain the cited regression coverage.</t>
        </is>
      </c>
      <c r="L9" s="13" t="inlineStr">
        <is>
          <t>src/components/CopyEmailButton.tsx:28-44 sets the same error state for every failed attempt; src/components/CopyEmailButton.tsx:47-84 leaves the live-region text unchanged after the first failure.; Baseline confirmed: the second identical clipboard failure produces no DOM/live-region mutation or re-announcement. Evidence: /tmp/portfolio-feature-audit/baseline/contact-system/contact-interactions.md; Fixed/Verified: consecutive clipboard failures produced distinct polite live-region mutations.; Linked Feature IDs: PF-CONTACT-005</t>
        </is>
      </c>
      <c r="M9" s="13" t="inlineStr">
        <is>
          <t>/harden</t>
        </is>
      </c>
      <c r="N9" s="13" t="inlineStr">
        <is>
          <t>WCAG 4.1.3 intent (status messages).</t>
        </is>
      </c>
      <c r="O9" s="13" t="inlineStr">
        <is>
          <t>Unassigned</t>
        </is>
      </c>
      <c r="P9" s="18" t="n">
        <v>46257</v>
      </c>
      <c r="Q9" s="18" t="n">
        <v>46257.6050925926</v>
      </c>
      <c r="R9" s="13" t="inlineStr">
        <is>
          <t>/tmp/portfolio-feature-audit/static-ux-audit.md; /tmp/portfolio-feature-audit/baseline/contact-system-report.md; /tmp/portfolio-feature-audit/postfix/contact-system-results.json; /tmp/portfolio-feature-audit/fix/contact-fixes.md; /tmp/portfolio-feature-audit/postfix/integration-report.md</t>
        </is>
      </c>
    </row>
    <row r="10">
      <c r="A10" s="13" t="inlineStr">
        <is>
          <t>QA-A11Y-001</t>
        </is>
      </c>
      <c r="B10" s="13" t="inlineStr">
        <is>
          <t>Static UX Audit</t>
        </is>
      </c>
      <c r="C10" s="13" t="inlineStr">
        <is>
          <t>Verified</t>
        </is>
      </c>
      <c r="D10" s="13" t="inlineStr">
        <is>
          <t>Low</t>
        </is>
      </c>
      <c r="E10" s="13" t="inlineStr">
        <is>
          <t>Quality assurance / configuration</t>
        </is>
      </c>
      <c r="F10" s="13" t="inlineStr">
        <is>
          <t>Cross-browser navigation, mailto, clipboard, focus, motion, and responsive behavior</t>
        </is>
      </c>
      <c r="G10" s="13" t="inlineStr">
        <is>
          <t>Browser coverage omits the engines and interaction modes most likely to expose current risks</t>
        </is>
      </c>
      <c r="H10" s="13" t="inlineStr">
        <is>
          <t>Regressions in Safari/iOS external-protocol handling, clipboard permissions, backdrop filters, focus visibility, and Firefox scrolling can ship despite a green suite.</t>
        </is>
      </c>
      <c r="I10" s="13" t="inlineStr">
        <is>
          <t>Run the same E2E suite under WebKit and Firefox, then add keyboard-only and reduced-motion projects. Record failures or engine-specific layout differences.</t>
        </is>
      </c>
      <c r="J10" s="13" t="inlineStr">
        <is>
          <t>Critical user paths and responsive navigation should be protected across Chromium, WebKit, and Firefox, including keyboard and user-preference modes.</t>
        </is>
      </c>
      <c r="K10" s="13" t="inlineStr">
        <is>
          <t>Add desktop and mobile WebKit plus Firefox projects; add focused tests for Tab/Shift+Tab order, skip-link focus, external-link names, reduced motion, 200% text/zoom reflow, and sticky-dock clearance.; Implemented and independently verified; retain the cited regression coverage.</t>
        </is>
      </c>
      <c r="L10" s="13" t="inlineStr">
        <is>
          <t>playwright.config.ts:28-33 defines Chromium only. Responsive navigation is checked at three viewport sizes in e2e/navigation.spec.ts:8-21, but the suite contains no keyboard tab-order/skip-link test, reduced-motion/transparency test, forced-colors/zoom check, or WebKit/Firefox project. The mailto E2E is synthetic at e2e/contact.spec.ts:8-25.; Baseline confirmed logistical gap: Playwright declares Chromium only and has no dedicated cross-engine, keyboard, or user-preference projects. Evidence: /tmp/portfolio-feature-audit/baseline/contact-system-report.md; Fixed/Verified within authorized scope: Chromium/Firefox/WebKit matrix and focused accessibility coverage passed 18/18.; Linked Feature IDs: PF-OPS-010</t>
        </is>
      </c>
      <c r="M10" s="13" t="inlineStr">
        <is>
          <t>/audit followed by Playwright coverage work</t>
        </is>
      </c>
      <c r="N10" s="13" t="inlineStr"/>
      <c r="O10" s="13" t="inlineStr">
        <is>
          <t>Unassigned</t>
        </is>
      </c>
      <c r="P10" s="18" t="n">
        <v>46257</v>
      </c>
      <c r="Q10" s="18" t="n">
        <v>46257.6050925926</v>
      </c>
      <c r="R10" s="13" t="inlineStr">
        <is>
          <t>/tmp/portfolio-feature-audit/static-ux-audit.md; /tmp/portfolio-feature-audit/baseline/contact-system-report.md; /tmp/portfolio-feature-audit/postfix/contact-system-results.json; /tmp/portfolio-feature-audit/fix/global-fixes.md; /tmp/portfolio-feature-audit/postfix/validation-results.json</t>
        </is>
      </c>
    </row>
    <row r="11">
      <c r="A11" s="13" t="inlineStr">
        <is>
          <t>DESIGN-AI-001</t>
        </is>
      </c>
      <c r="B11" s="13" t="inlineStr">
        <is>
          <t>Static UX Audit</t>
        </is>
      </c>
      <c r="C11" s="13" t="inlineStr">
        <is>
          <t>Closed</t>
        </is>
      </c>
      <c r="D11" s="13" t="inlineStr">
        <is>
          <t>Low</t>
        </is>
      </c>
      <c r="E11" s="13" t="inlineStr">
        <is>
          <t>Visual hierarchy / anti-pattern</t>
        </is>
      </c>
      <c r="F11" s="13" t="inlineStr">
        <is>
          <t>All routes</t>
        </is>
      </c>
      <c r="G11" s="13" t="inlineStr">
        <is>
          <t>Pervasive glass-card treatment weakens hierarchy</t>
        </is>
      </c>
      <c r="H11" s="13" t="inlineStr">
        <is>
          <t>Nearly every level reads as an elevated rounded surface, so primary actions, secondary information, and structural containers compete with one another. Repeated backdrop blur can also make scrolling feel heavier on low-end hardware, though that performance effect requires profiling.</t>
        </is>
      </c>
      <c r="I11" s="13" t="inlineStr">
        <is>
          <t>Review each route without reading copy and identify the primary action and section hierarchy using surface treatment alone; then profile scrolling on a low-end/mobile GPU with backdrop filters enabled and disabled.</t>
        </is>
      </c>
      <c r="J11" s="13" t="inlineStr">
        <is>
          <t>Surface elevation should encode hierarchy selectively; flat sections, dividers, whitespace, and typography should carry most structure, with glass reserved for one or two high-value layers.</t>
        </is>
      </c>
      <c r="K11" s="13" t="inlineStr">
        <is>
          <t>No product correction authorized. Preserve this disposition as history and re-open only with new public, measured, or user-impact evidence.</t>
        </is>
      </c>
      <c r="L11" s="13" t="inlineStr">
        <is>
          <t>Shared glass/window primitives at src/app/globals.css:87-151; repeated use across the Home hero/cards (src/app/(home)/page.tsx:33-36, src/components/ProjectCard.tsx:76-86), About timeline/capability grid (src/app/(site)/about/page.tsx:174-231), Project cards/details (src/components/ProjectExplorer.tsx:147-218), and Contact form/cards (src/app/(site)/contact/page.tsx:61-126, src/app/(site)/contact/page.tsx:141-213).; Baseline visually corroborated repeated elevated glass surfaces, but user impact remains subjective and primary actions stayed identifiable. Retain Candidate pending usability/profiling evidence. Evidence: /tmp/portfolio-feature-audit/baseline/core-report.md; Closed/Rejected after adjudication: repeated glass styling is observable, but no contrast, task-completion, hierarchy, or measured GPU failure establishes a repair defect.; Linked Feature IDs: PF-ABOUT-004, PF-ABOUT-005, PF-CONTACT-002, PF-CONTACT-012, PF-CONTACT-014, PF-HOME-001, PF-HOME-007, PF-PROJ-005, PF-PROJ-009, PF-SHELL-001</t>
        </is>
      </c>
      <c r="M11" s="13" t="inlineStr">
        <is>
          <t>/distill or /normalize</t>
        </is>
      </c>
      <c r="N11" s="13" t="inlineStr"/>
      <c r="O11" s="13" t="inlineStr">
        <is>
          <t>Unassigned</t>
        </is>
      </c>
      <c r="P11" s="18" t="n">
        <v>46257</v>
      </c>
      <c r="Q11" s="18" t="n">
        <v>46257.6050925926</v>
      </c>
      <c r="R11" s="13" t="inlineStr">
        <is>
          <t>/tmp/portfolio-feature-audit/static-ux-audit.md; /tmp/portfolio-feature-audit/baseline/reconciliation-report.md; /tmp/portfolio-feature-audit/fix/candidate-adjudication.md</t>
        </is>
      </c>
    </row>
    <row r="12">
      <c r="A12" s="13" t="inlineStr">
        <is>
          <t>CAND-RUNTIME-METADATA-001</t>
        </is>
      </c>
      <c r="B12" s="13" t="inlineStr">
        <is>
          <t>Runtime Discovery</t>
        </is>
      </c>
      <c r="C12" s="13" t="inlineStr">
        <is>
          <t>Closed</t>
        </is>
      </c>
      <c r="D12" s="13" t="inlineStr">
        <is>
          <t>Low</t>
        </is>
      </c>
      <c r="E12" s="13" t="inlineStr">
        <is>
          <t>Metadata / environment consistency</t>
        </is>
      </c>
      <c r="F12" s="13" t="inlineStr">
        <is>
          <t>Home, dynamic routes, robots, and sitemap in local runtime</t>
        </is>
      </c>
      <c r="G12" s="13" t="inlineStr">
        <is>
          <t>Local absolute metadata uses split origins</t>
        </is>
      </c>
      <c r="H12" s="13" t="inlineStr">
        <is>
          <t>Local discovery showed the static Home canonical using the production Vercel origin while dynamic pages, robots, and sitemap resolved against http://localhost:3000. Production configuration was not tested.</t>
        </is>
      </c>
      <c r="I12" s="13" t="inlineStr">
        <is>
          <t>Run the portfolio locally, inspect canonical/metadata URLs on all routes, then compare robots.txt and sitemap.xml absolute URLs. Confirm the intended production environment before escalation.</t>
        </is>
      </c>
      <c r="J12" s="13" t="inlineStr">
        <is>
          <t>Absolute metadata should resolve consistently to the intended deployment origin for the environment under test.</t>
        </is>
      </c>
      <c r="K12" s="13" t="inlineStr">
        <is>
          <t>No product correction authorized. Preserve this disposition as history and re-open only with new public, measured, or user-impact evidence.</t>
        </is>
      </c>
      <c r="L12" s="13" t="inlineStr">
        <is>
          <t>runtime-discovery.md: Metadata-visible behavior and Findings and limits #2; Rejected as a public product defect: local fallback origins are environment-specific; public About/Contact/robots/sitemap metadata consistently uses the production origin. Evidence: /tmp/portfolio-feature-audit/baseline/reconciliation/about-metadata-comparison.json; /tmp/portfolio-feature-audit/baseline/contact-system-report.md; Closed/Rejected and reconfirmed: local fallback origins are environment-only; route/public metadata behavior is healthy.; Linked Feature IDs: PF-ABOUT-006, PF-CONTACT-001, PF-OPS-001, PF-OPS-008, PF-PROJ-001, PF-SEO-001, PF-SEO-002, PF-SEO-003, PF-SEO-004</t>
        </is>
      </c>
      <c r="M12" s="13" t="inlineStr">
        <is>
          <t>Production metadata verification</t>
        </is>
      </c>
      <c r="N12" s="13" t="inlineStr">
        <is>
          <t>Not applicable</t>
        </is>
      </c>
      <c r="O12" s="13" t="inlineStr">
        <is>
          <t>Unassigned</t>
        </is>
      </c>
      <c r="P12" s="18" t="n">
        <v>46257</v>
      </c>
      <c r="Q12" s="18" t="n">
        <v>46257.6050925926</v>
      </c>
      <c r="R12" s="13" t="inlineStr">
        <is>
          <t>/tmp/portfolio-feature-audit/runtime-discovery.md; /tmp/portfolio-feature-audit/baseline/reconciliation-report.md; /tmp/portfolio-feature-audit/postfix/integration-report.md</t>
        </is>
      </c>
    </row>
    <row r="13">
      <c r="A13" s="13" t="inlineStr">
        <is>
          <t>CAND-RUNTIME-ANALYTICS-001</t>
        </is>
      </c>
      <c r="B13" s="13" t="inlineStr">
        <is>
          <t>Runtime Discovery</t>
        </is>
      </c>
      <c r="C13" s="13" t="inlineStr">
        <is>
          <t>Closed</t>
        </is>
      </c>
      <c r="D13" s="13" t="inlineStr">
        <is>
          <t>Low</t>
        </is>
      </c>
      <c r="E13" s="13" t="inlineStr">
        <is>
          <t>Analytics / development console</t>
        </is>
      </c>
      <c r="F13" s="13" t="inlineStr">
        <is>
          <t>Rendered routes in local development</t>
        </is>
      </c>
      <c r="G13" s="13" t="inlineStr">
        <is>
          <t>Local analytics script produces 404 and MIME console errors</t>
        </is>
      </c>
      <c r="H13" s="13" t="inlineStr">
        <is>
          <t>Local development logs are noisy and can obscure other console issues. No application exception was reported, and production behavior was not tested.</t>
        </is>
      </c>
      <c r="I13" s="13" t="inlineStr">
        <is>
          <t>Run the local development server, load rendered routes, and inspect console/network for /_vercel/insights/script.js returning 404 text/plain and strict MIME rejection.</t>
        </is>
      </c>
      <c r="J13" s="13" t="inlineStr">
        <is>
          <t>Development analytics should be disabled, stubbed, or load without recurring console errors; production behavior requires separate proof.</t>
        </is>
      </c>
      <c r="K13" s="13" t="inlineStr">
        <is>
          <t>No product correction authorized. Preserve this disposition as history and re-open only with new public, measured, or user-impact evidence.</t>
        </is>
      </c>
      <c r="L13" s="13" t="inlineStr">
        <is>
          <t>runtime-discovery.md: Console/network observations and Findings and limits #1; Rejected as a public product defect: local development returns a nonblocking 404/MIME observation, while the public Insights script is healthy JavaScript and analytics remains nonblocking. Evidence: /tmp/portfolio-feature-audit/baseline/contact-system-report.md; Closed/Rejected and reconfirmed: local Insights 404/MIME output is hosting-specific and nonblocking; public delivery was healthy.; Linked Feature IDs: PF-404-003, PF-OPS-006</t>
        </is>
      </c>
      <c r="M13" s="13" t="inlineStr">
        <is>
          <t>Analytics environment verification</t>
        </is>
      </c>
      <c r="N13" s="13" t="inlineStr">
        <is>
          <t>Not applicable</t>
        </is>
      </c>
      <c r="O13" s="13" t="inlineStr">
        <is>
          <t>Unassigned</t>
        </is>
      </c>
      <c r="P13" s="18" t="n">
        <v>46257</v>
      </c>
      <c r="Q13" s="18" t="n">
        <v>46257.6050925926</v>
      </c>
      <c r="R13" s="13" t="inlineStr">
        <is>
          <t>/tmp/portfolio-feature-audit/runtime-discovery.md; /tmp/portfolio-feature-audit/baseline/reconciliation-report.md; /tmp/portfolio-feature-audit/postfix/integration-report.md</t>
        </is>
      </c>
    </row>
    <row r="14" ht="96" customHeight="1">
      <c r="A14" s="13" t="inlineStr">
        <is>
          <t>BL-SYS-001</t>
        </is>
      </c>
      <c r="B14" s="13" t="inlineStr">
        <is>
          <t>Baseline Verification</t>
        </is>
      </c>
      <c r="C14" s="13" t="inlineStr">
        <is>
          <t>Verified</t>
        </is>
      </c>
      <c r="D14" s="13" t="inlineStr">
        <is>
          <t>Low</t>
        </is>
      </c>
      <c r="E14" s="13" t="inlineStr">
        <is>
          <t>Feedback / state observability</t>
        </is>
      </c>
      <c r="F14" s="13" t="inlineStr">
        <is>
          <t>/contact → Prepare email draft</t>
        </is>
      </c>
      <c r="G14" s="13" t="inlineStr">
        <is>
          <t>Contact preparing state is never observable</t>
        </is>
      </c>
      <c r="H14" s="13" t="inlineStr">
        <is>
          <t>The promised progress/status state never exists, including while synchronous telemetry and mailto construction block the submit handler.</t>
        </is>
      </c>
      <c r="I14" s="13" t="inlineStr">
        <is>
          <t>Intercept mailto anchor clicks; observe form aria-busy, submit-button disabled state, spinner, and live status; submit a valid inquiry. The DOM moves directly from idle to success.</t>
        </is>
      </c>
      <c r="J14" s="13" t="inlineStr">
        <is>
          <t>The form becomes busy/disabled and renders Preparing draft feedback before the requested/success state.</t>
        </is>
      </c>
      <c r="K14" s="13" t="inlineStr">
        <is>
          <t>Yield or flush the preparing render before synchronous work, or remove the promised transient state and use truthful neutral completion/recovery messaging. Add a MutationObserver-backed regression test.; Implemented and independently verified; retain the cited regression coverage.</t>
        </is>
      </c>
      <c r="L14" s="13" t="inlineStr">
        <is>
          <t>src/components/ContactComposer.tsx: handleSubmit batches setStatus(preparing), analytics, anchor.click, and setStatus(success); baseline MutationObserver found no preparing mutation. Evidence: /tmp/portfolio-feature-audit/baseline/contact-system/contact-interactions.md; Fixed/Verified: busy/disabled/spinner/Preparing state was observable for about 302ms before neutral completion.; Linked Feature IDs: PF-CONTACT-009, PF-CONTACT-011</t>
        </is>
      </c>
      <c r="M14" s="13" t="inlineStr">
        <is>
          <t>/harden</t>
        </is>
      </c>
      <c r="N14" s="13" t="inlineStr">
        <is>
          <t>WCAG 4.1.3 intent (status messages)</t>
        </is>
      </c>
      <c r="O14" s="13" t="inlineStr">
        <is>
          <t>Unassigned</t>
        </is>
      </c>
      <c r="P14" s="18" t="n">
        <v>46257.56084490741</v>
      </c>
      <c r="Q14" s="18" t="n">
        <v>46257.6050925926</v>
      </c>
      <c r="R14" s="13" t="inlineStr">
        <is>
          <t>/tmp/portfolio-feature-audit/baseline/contact-system-report.md; /tmp/portfolio-feature-audit/baseline/contact-system/contact-interactions.md; /tmp/portfolio-feature-audit/postfix/contact-system-results.json; /tmp/portfolio-feature-audit/fix/contact-fixes.md; /tmp/portfolio-feature-audit/postfix/integration-report.md</t>
        </is>
      </c>
    </row>
  </sheetData>
  <autoFilter ref="A1:R14"/>
  <conditionalFormatting sqref="D2:D13">
    <cfRule type="expression" priority="1" dxfId="3">
      <formula>D2="Critical"</formula>
    </cfRule>
    <cfRule type="expression" priority="2" dxfId="4">
      <formula>D2="High"</formula>
    </cfRule>
    <cfRule type="expression" priority="3" dxfId="5">
      <formula>D2="Medium"</formula>
    </cfRule>
    <cfRule type="expression" priority="4" dxfId="2">
      <formula>D2="Low"</formula>
    </cfRule>
  </conditionalFormatting>
  <conditionalFormatting sqref="C2:C13">
    <cfRule type="expression" priority="5" dxfId="1">
      <formula>C2="Verified"</formula>
    </cfRule>
    <cfRule type="expression" priority="6" dxfId="2">
      <formula>C2="Candidate"</formula>
    </cfRule>
  </conditionalFormatting>
  <conditionalFormatting sqref="D14">
    <cfRule type="expression" priority="1" dxfId="3">
      <formula>D14="Critical"</formula>
    </cfRule>
    <cfRule type="expression" priority="2" dxfId="4">
      <formula>D14="High"</formula>
    </cfRule>
    <cfRule type="expression" priority="3" dxfId="5">
      <formula>D14="Medium"</formula>
    </cfRule>
    <cfRule type="expression" priority="4" dxfId="2">
      <formula>D14="Low"</formula>
    </cfRule>
  </conditionalFormatting>
  <conditionalFormatting sqref="C14">
    <cfRule type="expression" priority="5" dxfId="1">
      <formula>C14="Verified"</formula>
    </cfRule>
    <cfRule type="expression" priority="6" dxfId="2">
      <formula>C14="Candidate"</formula>
    </cfRule>
  </conditionalFormatting>
  <dataValidations count="4">
    <dataValidation sqref="B2:B14" showDropDown="0" showInputMessage="1" showErrorMessage="1" allowBlank="0" errorTitle="Invalid value" error="Choose a value from the approved list." promptTitle="Controlled field" prompt="Audit or discovery phase" type="list">
      <formula1>DefectPhases</formula1>
    </dataValidation>
    <dataValidation sqref="C2:C14" showDropDown="0" showInputMessage="1" showErrorMessage="1" allowBlank="0" errorTitle="Invalid value" error="Choose a value from the approved list." promptTitle="Controlled field" prompt="Candidate until verified and triaged" type="list">
      <formula1>LifecycleStatuses</formula1>
    </dataValidation>
    <dataValidation sqref="D2:D14" showDropDown="0" showInputMessage="1" showErrorMessage="1" allowBlank="0" errorTitle="Invalid value" error="Choose a value from the approved list." promptTitle="Controlled field" prompt="Current severity" type="list">
      <formula1>Severities</formula1>
    </dataValidation>
    <dataValidation sqref="O2:O14" showDropDown="0" showInputMessage="1" showErrorMessage="1" allowBlank="0" errorTitle="Invalid value" error="Choose a value from the approved list." promptTitle="Controlled field" prompt="Accountable owner" type="list">
      <formula1>Owners</formula1>
    </dataValidation>
  </dataValidations>
  <pageMargins left="0.75" right="0.75" top="1" bottom="1" header="0.5" footer="0.5"/>
  <pageSetup orientation="landscape" paperSize="8" fitToHeight="0" fitToWidth="3" pageOrder="overThenDown"/>
  <headerFooter>
    <oddHeader>&amp;LDefects</oddHeader>
    <oddFooter>&amp;CPage &amp;P of &amp;N&amp;RPortfolio Feature Ledger</oddFooter>
    <evenHeader/>
    <evenFooter/>
    <firstHeader/>
    <firstFooter/>
  </headerFooter>
</worksheet>
</file>

<file path=xl/worksheets/sheet4.xml><?xml version="1.0" encoding="utf-8"?>
<worksheet xmlns="http://schemas.openxmlformats.org/spreadsheetml/2006/main">
  <sheetPr>
    <tabColor rgb="000F6B78"/>
    <outlinePr summaryBelow="1" summaryRight="1"/>
    <pageSetUpPr fitToPage="1"/>
  </sheetPr>
  <dimension ref="A1:L31"/>
  <sheetViews>
    <sheetView showGridLines="0" zoomScale="8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26" customWidth="1" min="3" max="3"/>
    <col width="24" customWidth="1" min="4" max="4"/>
    <col width="40" customWidth="1" min="5" max="5"/>
    <col width="42" customWidth="1" min="6" max="6"/>
    <col width="48" customWidth="1" min="7" max="7"/>
    <col width="20" customWidth="1" min="8" max="8"/>
    <col width="50" customWidth="1" min="9" max="9"/>
    <col width="19" customWidth="1" min="10" max="10"/>
    <col width="16" customWidth="1" min="11" max="11"/>
    <col width="44" customWidth="1" min="12" max="12"/>
  </cols>
  <sheetData>
    <row r="1" ht="34" customHeight="1">
      <c r="A1" s="8" t="inlineStr">
        <is>
          <t>Test Run ID</t>
        </is>
      </c>
      <c r="B1" s="8" t="inlineStr">
        <is>
          <t>Phase</t>
        </is>
      </c>
      <c r="C1" s="8" t="inlineStr">
        <is>
          <t>Scope / Route</t>
        </is>
      </c>
      <c r="D1" s="8" t="inlineStr">
        <is>
          <t>Viewport / Environment</t>
        </is>
      </c>
      <c r="E1" s="8" t="inlineStr">
        <is>
          <t>Scenario</t>
        </is>
      </c>
      <c r="F1" s="8" t="inlineStr">
        <is>
          <t>Expected</t>
        </is>
      </c>
      <c r="G1" s="8" t="inlineStr">
        <is>
          <t>Observed</t>
        </is>
      </c>
      <c r="H1" s="8" t="inlineStr">
        <is>
          <t>Result</t>
        </is>
      </c>
      <c r="I1" s="8" t="inlineStr">
        <is>
          <t>Evidence</t>
        </is>
      </c>
      <c r="J1" s="8" t="inlineStr">
        <is>
          <t>Executed At</t>
        </is>
      </c>
      <c r="K1" s="8" t="inlineStr">
        <is>
          <t>Owner</t>
        </is>
      </c>
      <c r="L1" s="8" t="inlineStr">
        <is>
          <t>Notes</t>
        </is>
      </c>
    </row>
    <row r="2">
      <c r="A2" s="13" t="inlineStr">
        <is>
          <t>TR-RUNTIME-001</t>
        </is>
      </c>
      <c r="B2" s="13" t="inlineStr">
        <is>
          <t>Runtime Discovery</t>
        </is>
      </c>
      <c r="C2" s="13" t="inlineStr">
        <is>
          <t>Route inventory</t>
        </is>
      </c>
      <c r="D2" s="13" t="inlineStr">
        <is>
          <t>Desktop 1440x1000</t>
        </is>
      </c>
      <c r="E2" s="13" t="inlineStr">
        <is>
          <t>Render five route states and two metadata endpoints</t>
        </is>
      </c>
      <c r="F2" s="13" t="inlineStr">
        <is>
          <t>Five rendered states and two machine endpoints respond</t>
        </is>
      </c>
      <c r="G2" s="13" t="inlineStr">
        <is>
          <t>Five states rendered; robots.txt and sitemap.xml returned 200</t>
        </is>
      </c>
      <c r="H2" s="13" t="inlineStr">
        <is>
          <t>Passed</t>
        </is>
      </c>
      <c r="I2" s="13" t="inlineStr">
        <is>
          <t>/tmp/portfolio-feature-audit/runtime-discovery.md: Outcome; Route and control inventory</t>
        </is>
      </c>
      <c r="J2" s="18" t="n">
        <v>46257</v>
      </c>
      <c r="K2" s="13" t="inlineStr">
        <is>
          <t>Unassigned</t>
        </is>
      </c>
      <c r="L2" s="13" t="inlineStr">
        <is>
          <t>Discovery evidence only; no production verification unless explicitly stated.</t>
        </is>
      </c>
    </row>
    <row r="3">
      <c r="A3" s="13" t="inlineStr">
        <is>
          <t>TR-RUNTIME-002</t>
        </is>
      </c>
      <c r="B3" s="13" t="inlineStr">
        <is>
          <t>Runtime Discovery</t>
        </is>
      </c>
      <c r="C3" s="13" t="inlineStr">
        <is>
          <t>/</t>
        </is>
      </c>
      <c r="D3" s="13" t="inlineStr">
        <is>
          <t>Desktop 1440x1000</t>
        </is>
      </c>
      <c r="E3" s="13" t="inlineStr">
        <is>
          <t>Load static Home and inspect controls</t>
        </is>
      </c>
      <c r="F3" s="13" t="inlineStr">
        <is>
          <t>Home renders static delivery and expected CTAs/projects</t>
        </is>
      </c>
      <c r="G3" s="13" t="inlineStr">
        <is>
          <t>200; 15 visible/focusable controls; expected navigation and project links present</t>
        </is>
      </c>
      <c r="H3" s="13" t="inlineStr">
        <is>
          <t>Passed</t>
        </is>
      </c>
      <c r="I3" s="13" t="inlineStr">
        <is>
          <t>/tmp/portfolio-feature-audit/runtime-discovery.md: Route and control inventory</t>
        </is>
      </c>
      <c r="J3" s="18" t="n">
        <v>46257</v>
      </c>
      <c r="K3" s="13" t="inlineStr">
        <is>
          <t>Unassigned</t>
        </is>
      </c>
      <c r="L3" s="13" t="inlineStr">
        <is>
          <t>Discovery evidence only; no production verification unless explicitly stated.</t>
        </is>
      </c>
    </row>
    <row r="4">
      <c r="A4" s="13" t="inlineStr">
        <is>
          <t>TR-RUNTIME-003</t>
        </is>
      </c>
      <c r="B4" s="13" t="inlineStr">
        <is>
          <t>Runtime Discovery</t>
        </is>
      </c>
      <c r="C4" s="13" t="inlineStr">
        <is>
          <t>/about</t>
        </is>
      </c>
      <c r="D4" s="13" t="inlineStr">
        <is>
          <t>Desktop 1440x1000</t>
        </is>
      </c>
      <c r="E4" s="13" t="inlineStr">
        <is>
          <t>Load About and inspect controls</t>
        </is>
      </c>
      <c r="F4" s="13" t="inlineStr">
        <is>
          <t>About renders identity and navigation content</t>
        </is>
      </c>
      <c r="G4" s="13" t="inlineStr">
        <is>
          <t>200; 8 visible/focusable controls</t>
        </is>
      </c>
      <c r="H4" s="13" t="inlineStr">
        <is>
          <t>Passed</t>
        </is>
      </c>
      <c r="I4" s="13" t="inlineStr">
        <is>
          <t>/tmp/portfolio-feature-audit/runtime-discovery.md: Route and control inventory</t>
        </is>
      </c>
      <c r="J4" s="18" t="n">
        <v>46257</v>
      </c>
      <c r="K4" s="13" t="inlineStr">
        <is>
          <t>Unassigned</t>
        </is>
      </c>
      <c r="L4" s="13" t="inlineStr">
        <is>
          <t>Discovery evidence only; no production verification unless explicitly stated.</t>
        </is>
      </c>
    </row>
    <row r="5">
      <c r="A5" s="13" t="inlineStr">
        <is>
          <t>TR-RUNTIME-004</t>
        </is>
      </c>
      <c r="B5" s="13" t="inlineStr">
        <is>
          <t>Runtime Discovery</t>
        </is>
      </c>
      <c r="C5" s="13" t="inlineStr">
        <is>
          <t>/projects</t>
        </is>
      </c>
      <c r="D5" s="13" t="inlineStr">
        <is>
          <t>Desktop 1440x1000</t>
        </is>
      </c>
      <c r="E5" s="13" t="inlineStr">
        <is>
          <t>Load project explorer</t>
        </is>
      </c>
      <c r="F5" s="13" t="inlineStr">
        <is>
          <t>Seven projects and explorer controls render</t>
        </is>
      </c>
      <c r="G5" s="13" t="inlineStr">
        <is>
          <t>200; 25 visible/focusable controls</t>
        </is>
      </c>
      <c r="H5" s="13" t="inlineStr">
        <is>
          <t>Passed</t>
        </is>
      </c>
      <c r="I5" s="13" t="inlineStr">
        <is>
          <t>/tmp/portfolio-feature-audit/runtime-discovery.md: Route and control inventory</t>
        </is>
      </c>
      <c r="J5" s="18" t="n">
        <v>46257</v>
      </c>
      <c r="K5" s="13" t="inlineStr">
        <is>
          <t>Unassigned</t>
        </is>
      </c>
      <c r="L5" s="13" t="inlineStr">
        <is>
          <t>Discovery evidence only; no production verification unless explicitly stated.</t>
        </is>
      </c>
    </row>
    <row r="6">
      <c r="A6" s="13" t="inlineStr">
        <is>
          <t>TR-RUNTIME-005</t>
        </is>
      </c>
      <c r="B6" s="13" t="inlineStr">
        <is>
          <t>Runtime Discovery</t>
        </is>
      </c>
      <c r="C6" s="13" t="inlineStr">
        <is>
          <t>/contact</t>
        </is>
      </c>
      <c r="D6" s="13" t="inlineStr">
        <is>
          <t>Desktop 1440x1000</t>
        </is>
      </c>
      <c r="E6" s="13" t="inlineStr">
        <is>
          <t>Load contact composer</t>
        </is>
      </c>
      <c r="F6" s="13" t="inlineStr">
        <is>
          <t>Contact controls and secondary channels render</t>
        </is>
      </c>
      <c r="G6" s="13" t="inlineStr">
        <is>
          <t>200; 19 visible/focusable controls</t>
        </is>
      </c>
      <c r="H6" s="13" t="inlineStr">
        <is>
          <t>Passed</t>
        </is>
      </c>
      <c r="I6" s="13" t="inlineStr">
        <is>
          <t>/tmp/portfolio-feature-audit/runtime-discovery.md: Route and control inventory</t>
        </is>
      </c>
      <c r="J6" s="18" t="n">
        <v>46257</v>
      </c>
      <c r="K6" s="13" t="inlineStr">
        <is>
          <t>Unassigned</t>
        </is>
      </c>
      <c r="L6" s="13" t="inlineStr">
        <is>
          <t>Discovery evidence only; no production verification unless explicitly stated.</t>
        </is>
      </c>
    </row>
    <row r="7">
      <c r="A7" s="13" t="inlineStr">
        <is>
          <t>TR-RUNTIME-006</t>
        </is>
      </c>
      <c r="B7" s="13" t="inlineStr">
        <is>
          <t>Runtime Discovery</t>
        </is>
      </c>
      <c r="C7" s="13" t="inlineStr">
        <is>
          <t>Branded 404</t>
        </is>
      </c>
      <c r="D7" s="13" t="inlineStr">
        <is>
          <t>Desktop 1440x1000</t>
        </is>
      </c>
      <c r="E7" s="13" t="inlineStr">
        <is>
          <t>Load invalid route and exercise recovery links</t>
        </is>
      </c>
      <c r="F7" s="13" t="inlineStr">
        <is>
          <t>404 shell renders and three recovery routes navigate</t>
        </is>
      </c>
      <c r="G7" s="13" t="inlineStr">
        <is>
          <t>Branded 404 rendered; Home, Projects, and Contact recovery links navigated correctly</t>
        </is>
      </c>
      <c r="H7" s="13" t="inlineStr">
        <is>
          <t>Passed</t>
        </is>
      </c>
      <c r="I7" s="13" t="inlineStr">
        <is>
          <t>/tmp/portfolio-feature-audit/runtime-discovery.md: Shared navigation and recovery</t>
        </is>
      </c>
      <c r="J7" s="18" t="n">
        <v>46257</v>
      </c>
      <c r="K7" s="13" t="inlineStr">
        <is>
          <t>Unassigned</t>
        </is>
      </c>
      <c r="L7" s="13" t="inlineStr">
        <is>
          <t>Discovery evidence only; no production verification unless explicitly stated.</t>
        </is>
      </c>
    </row>
    <row r="8">
      <c r="A8" s="13" t="inlineStr">
        <is>
          <t>TR-RUNTIME-007</t>
        </is>
      </c>
      <c r="B8" s="13" t="inlineStr">
        <is>
          <t>Runtime Discovery</t>
        </is>
      </c>
      <c r="C8" s="13" t="inlineStr">
        <is>
          <t>Projects filters</t>
        </is>
      </c>
      <c r="D8" s="13" t="inlineStr">
        <is>
          <t>Desktop 1440x1000</t>
        </is>
      </c>
      <c r="E8" s="13" t="inlineStr">
        <is>
          <t>Exercise All, Studio, Client, and Product filters</t>
        </is>
      </c>
      <c r="F8" s="13" t="inlineStr">
        <is>
          <t>Counts, cards, aria-pressed, and live result update</t>
        </is>
      </c>
      <c r="G8" s="13" t="inlineStr">
        <is>
          <t>All 7; Studio 1; Client 3; Product 3; state and live announcement updated</t>
        </is>
      </c>
      <c r="H8" s="13" t="inlineStr">
        <is>
          <t>Passed</t>
        </is>
      </c>
      <c r="I8" s="13" t="inlineStr">
        <is>
          <t>/tmp/portfolio-feature-audit/runtime-discovery.md: Projects explorer</t>
        </is>
      </c>
      <c r="J8" s="18" t="n">
        <v>46257</v>
      </c>
      <c r="K8" s="13" t="inlineStr">
        <is>
          <t>Unassigned</t>
        </is>
      </c>
      <c r="L8" s="13" t="inlineStr">
        <is>
          <t>Discovery evidence only; no production verification unless explicitly stated.</t>
        </is>
      </c>
    </row>
    <row r="9">
      <c r="A9" s="13" t="inlineStr">
        <is>
          <t>TR-RUNTIME-008</t>
        </is>
      </c>
      <c r="B9" s="13" t="inlineStr">
        <is>
          <t>Runtime Discovery</t>
        </is>
      </c>
      <c r="C9" s="13" t="inlineStr">
        <is>
          <t>Projects case studies</t>
        </is>
      </c>
      <c r="D9" s="13" t="inlineStr">
        <is>
          <t>Desktop keyboard</t>
        </is>
      </c>
      <c r="E9" s="13" t="inlineStr">
        <is>
          <t>Open all disclosures and toggle first with Enter</t>
        </is>
      </c>
      <c r="F9" s="13" t="inlineStr">
        <is>
          <t>Native disclosures work independently by mouse and keyboard</t>
        </is>
      </c>
      <c r="G9" s="13" t="inlineStr">
        <is>
          <t>All seven opened; first closed with Enter</t>
        </is>
      </c>
      <c r="H9" s="13" t="inlineStr">
        <is>
          <t>Passed</t>
        </is>
      </c>
      <c r="I9" s="13" t="inlineStr">
        <is>
          <t>/tmp/portfolio-feature-audit/runtime-discovery.md: Projects explorer</t>
        </is>
      </c>
      <c r="J9" s="18" t="n">
        <v>46257</v>
      </c>
      <c r="K9" s="13" t="inlineStr">
        <is>
          <t>Unassigned</t>
        </is>
      </c>
      <c r="L9" s="13" t="inlineStr">
        <is>
          <t>Discovery evidence only; no production verification unless explicitly stated.</t>
        </is>
      </c>
    </row>
    <row r="10">
      <c r="A10" s="13" t="inlineStr">
        <is>
          <t>TR-RUNTIME-009</t>
        </is>
      </c>
      <c r="B10" s="13" t="inlineStr">
        <is>
          <t>Runtime Discovery</t>
        </is>
      </c>
      <c r="C10" s="13" t="inlineStr">
        <is>
          <t>Contact clipboard</t>
        </is>
      </c>
      <c r="D10" s="13" t="inlineStr">
        <is>
          <t>Headless Chromium</t>
        </is>
      </c>
      <c r="E10" s="13" t="inlineStr">
        <is>
          <t>Use real clipboard path</t>
        </is>
      </c>
      <c r="F10" s="13" t="inlineStr">
        <is>
          <t>Copy or truthful recovery feedback</t>
        </is>
      </c>
      <c r="G10" s="13" t="inlineStr">
        <is>
          <t>Host clipboard write rejected; fallback and Try copy again state appeared</t>
        </is>
      </c>
      <c r="H10" s="13" t="inlineStr">
        <is>
          <t>Passed with caveat</t>
        </is>
      </c>
      <c r="I10" s="13" t="inlineStr">
        <is>
          <t>/tmp/portfolio-feature-audit/runtime-discovery.md: Contact</t>
        </is>
      </c>
      <c r="J10" s="18" t="n">
        <v>46257</v>
      </c>
      <c r="K10" s="13" t="inlineStr">
        <is>
          <t>Unassigned</t>
        </is>
      </c>
      <c r="L10" s="13" t="inlineStr">
        <is>
          <t>Discovery evidence only; no production verification unless explicitly stated.</t>
        </is>
      </c>
    </row>
    <row r="11">
      <c r="A11" s="13" t="inlineStr">
        <is>
          <t>TR-RUNTIME-010</t>
        </is>
      </c>
      <c r="B11" s="13" t="inlineStr">
        <is>
          <t>Runtime Discovery</t>
        </is>
      </c>
      <c r="C11" s="13" t="inlineStr">
        <is>
          <t>Contact clipboard</t>
        </is>
      </c>
      <c r="D11" s="13" t="inlineStr">
        <is>
          <t>Headless Chromium with controlled stub</t>
        </is>
      </c>
      <c r="E11" s="13" t="inlineStr">
        <is>
          <t>Simulate successful clipboard write and reset</t>
        </is>
      </c>
      <c r="F11" s="13" t="inlineStr">
        <is>
          <t>Copied state, live announcement, and timed reset</t>
        </is>
      </c>
      <c r="G11" s="13" t="inlineStr">
        <is>
          <t>Copied state and expected live announcement observed; success was simulated</t>
        </is>
      </c>
      <c r="H11" s="13" t="inlineStr">
        <is>
          <t>Passed with caveat</t>
        </is>
      </c>
      <c r="I11" s="13" t="inlineStr">
        <is>
          <t>/tmp/portfolio-feature-audit/runtime-discovery.md: Contact</t>
        </is>
      </c>
      <c r="J11" s="18" t="n">
        <v>46257</v>
      </c>
      <c r="K11" s="13" t="inlineStr">
        <is>
          <t>Unassigned</t>
        </is>
      </c>
      <c r="L11" s="13" t="inlineStr">
        <is>
          <t>Discovery evidence only; no production verification unless explicitly stated.</t>
        </is>
      </c>
    </row>
    <row r="12">
      <c r="A12" s="13" t="inlineStr">
        <is>
          <t>TR-RUNTIME-011</t>
        </is>
      </c>
      <c r="B12" s="13" t="inlineStr">
        <is>
          <t>Runtime Discovery</t>
        </is>
      </c>
      <c r="C12" s="13" t="inlineStr">
        <is>
          <t>Contact validation</t>
        </is>
      </c>
      <c r="D12" s="13" t="inlineStr">
        <is>
          <t>Desktop keyboard</t>
        </is>
      </c>
      <c r="E12" s="13" t="inlineStr">
        <is>
          <t>Submit empty/invalid values</t>
        </is>
      </c>
      <c r="F12" s="13" t="inlineStr">
        <is>
          <t>All field errors appear and focus moves to first invalid field</t>
        </is>
      </c>
      <c r="G12" s="13" t="inlineStr">
        <is>
          <t>All expected errors observed; focus moved to Your name</t>
        </is>
      </c>
      <c r="H12" s="13" t="inlineStr">
        <is>
          <t>Passed</t>
        </is>
      </c>
      <c r="I12" s="13" t="inlineStr">
        <is>
          <t>/tmp/portfolio-feature-audit/runtime-discovery.md: Contact</t>
        </is>
      </c>
      <c r="J12" s="18" t="n">
        <v>46257</v>
      </c>
      <c r="K12" s="13" t="inlineStr">
        <is>
          <t>Unassigned</t>
        </is>
      </c>
      <c r="L12" s="13" t="inlineStr">
        <is>
          <t>Discovery evidence only; no production verification unless explicitly stated.</t>
        </is>
      </c>
    </row>
    <row r="13">
      <c r="A13" s="13" t="inlineStr">
        <is>
          <t>TR-RUNTIME-012</t>
        </is>
      </c>
      <c r="B13" s="13" t="inlineStr">
        <is>
          <t>Runtime Discovery</t>
        </is>
      </c>
      <c r="C13" s="13" t="inlineStr">
        <is>
          <t>Contact mailto</t>
        </is>
      </c>
      <c r="D13" s="13" t="inlineStr">
        <is>
          <t>Headless Chromium with safe interception</t>
        </is>
      </c>
      <c r="E13" s="13" t="inlineStr">
        <is>
          <t>Submit valid values without launching mail app</t>
        </is>
      </c>
      <c r="F13" s="13" t="inlineStr">
        <is>
          <t>Encoded draft contains all fields and nothing sends automatically</t>
        </is>
      </c>
      <c r="G13" s="13" t="inlineStr">
        <is>
          <t>Complete encoded subject/body captured; UI reported mail app should open</t>
        </is>
      </c>
      <c r="H13" s="13" t="inlineStr">
        <is>
          <t>Passed with caveat</t>
        </is>
      </c>
      <c r="I13" s="13" t="inlineStr">
        <is>
          <t>/tmp/portfolio-feature-audit/runtime-discovery.md: Contact</t>
        </is>
      </c>
      <c r="J13" s="18" t="n">
        <v>46257</v>
      </c>
      <c r="K13" s="13" t="inlineStr">
        <is>
          <t>Unassigned</t>
        </is>
      </c>
      <c r="L13" s="13" t="inlineStr">
        <is>
          <t>Discovery evidence only; no production verification unless explicitly stated.</t>
        </is>
      </c>
    </row>
    <row r="14">
      <c r="A14" s="13" t="inlineStr">
        <is>
          <t>TR-RUNTIME-013</t>
        </is>
      </c>
      <c r="B14" s="13" t="inlineStr">
        <is>
          <t>Runtime Discovery</t>
        </is>
      </c>
      <c r="C14" s="13" t="inlineStr">
        <is>
          <t>Contact analytics event</t>
        </is>
      </c>
      <c r="D14" s="13" t="inlineStr">
        <is>
          <t>Development debug runtime</t>
        </is>
      </c>
      <c r="E14" s="13" t="inlineStr">
        <is>
          <t>Submit valid draft</t>
        </is>
      </c>
      <c r="F14" s="13" t="inlineStr">
        <is>
          <t>Privacy-minimal intent event emitted</t>
        </is>
      </c>
      <c r="G14" s="13" t="inlineStr">
        <is>
          <t>contact_mailto_draft emitted with project type and budget</t>
        </is>
      </c>
      <c r="H14" s="13" t="inlineStr">
        <is>
          <t>Passed with caveat</t>
        </is>
      </c>
      <c r="I14" s="13" t="inlineStr">
        <is>
          <t>/tmp/portfolio-feature-audit/runtime-discovery.md: Contact</t>
        </is>
      </c>
      <c r="J14" s="18" t="n">
        <v>46257</v>
      </c>
      <c r="K14" s="13" t="inlineStr">
        <is>
          <t>Unassigned</t>
        </is>
      </c>
      <c r="L14" s="13" t="inlineStr">
        <is>
          <t>Discovery evidence only; no production verification unless explicitly stated.</t>
        </is>
      </c>
    </row>
    <row r="15">
      <c r="A15" s="13" t="inlineStr">
        <is>
          <t>TR-RUNTIME-014</t>
        </is>
      </c>
      <c r="B15" s="13" t="inlineStr">
        <is>
          <t>Runtime Discovery</t>
        </is>
      </c>
      <c r="C15" s="13" t="inlineStr">
        <is>
          <t>Skip link</t>
        </is>
      </c>
      <c r="D15" s="13" t="inlineStr">
        <is>
          <t>Desktop keyboard</t>
        </is>
      </c>
      <c r="E15" s="13" t="inlineStr">
        <is>
          <t>Tab once and activate skip link</t>
        </is>
      </c>
      <c r="F15" s="13" t="inlineStr">
        <is>
          <t>Visible 44px target moves focus to main content</t>
        </is>
      </c>
      <c r="G15" s="13" t="inlineStr">
        <is>
          <t>Skip link revealed; Enter focused main#main-content and updated hash</t>
        </is>
      </c>
      <c r="H15" s="13" t="inlineStr">
        <is>
          <t>Passed</t>
        </is>
      </c>
      <c r="I15" s="13" t="inlineStr">
        <is>
          <t>/tmp/portfolio-feature-audit/runtime-discovery.md: Keyboard, focus, and accessibility-visible behavior</t>
        </is>
      </c>
      <c r="J15" s="18" t="n">
        <v>46257</v>
      </c>
      <c r="K15" s="13" t="inlineStr">
        <is>
          <t>Unassigned</t>
        </is>
      </c>
      <c r="L15" s="13" t="inlineStr">
        <is>
          <t>Discovery evidence only; no production verification unless explicitly stated.</t>
        </is>
      </c>
    </row>
    <row r="16">
      <c r="A16" s="13" t="inlineStr">
        <is>
          <t>TR-RUNTIME-015</t>
        </is>
      </c>
      <c r="B16" s="13" t="inlineStr">
        <is>
          <t>Runtime Discovery</t>
        </is>
      </c>
      <c r="C16" s="13" t="inlineStr">
        <is>
          <t>Responsive routes</t>
        </is>
      </c>
      <c r="D16" s="13" t="inlineStr">
        <is>
          <t>390x844 mobile</t>
        </is>
      </c>
      <c r="E16" s="13" t="inlineStr">
        <is>
          <t>Render all five states and inspect overflow/dock clearance</t>
        </is>
      </c>
      <c r="F16" s="13" t="inlineStr">
        <is>
          <t>No horizontal overflow; content clears bottom dock</t>
        </is>
      </c>
      <c r="G16" s="13" t="inlineStr">
        <is>
          <t>No overflow; fixed 92px dock; 192px main bottom padding; footer/content clearance observed</t>
        </is>
      </c>
      <c r="H16" s="13" t="inlineStr">
        <is>
          <t>Passed</t>
        </is>
      </c>
      <c r="I16" s="13" t="inlineStr">
        <is>
          <t>/tmp/portfolio-feature-audit/runtime-discovery.md: Responsive and media behavior</t>
        </is>
      </c>
      <c r="J16" s="18" t="n">
        <v>46257</v>
      </c>
      <c r="K16" s="13" t="inlineStr">
        <is>
          <t>Unassigned</t>
        </is>
      </c>
      <c r="L16" s="13" t="inlineStr">
        <is>
          <t>Discovery evidence only; no production verification unless explicitly stated.</t>
        </is>
      </c>
    </row>
    <row r="17">
      <c r="A17" s="13" t="inlineStr">
        <is>
          <t>TR-RUNTIME-016</t>
        </is>
      </c>
      <c r="B17" s="13" t="inlineStr">
        <is>
          <t>Runtime Discovery</t>
        </is>
      </c>
      <c r="C17" s="13" t="inlineStr">
        <is>
          <t>Responsive routes</t>
        </is>
      </c>
      <c r="D17" s="13" t="inlineStr">
        <is>
          <t>768x1024 tablet boundary</t>
        </is>
      </c>
      <c r="E17" s="13" t="inlineStr">
        <is>
          <t>Render all five states at exact md breakpoint</t>
        </is>
      </c>
      <c r="F17" s="13" t="inlineStr">
        <is>
          <t>Single top navigation, no overflow, usable filters/form</t>
        </is>
      </c>
      <c r="G17" s="13" t="inlineStr">
        <is>
          <t>Desktop/tablet header active; no overflow; filters 44px; contact two-column layout</t>
        </is>
      </c>
      <c r="H17" s="13" t="inlineStr">
        <is>
          <t>Passed</t>
        </is>
      </c>
      <c r="I17" s="13" t="inlineStr">
        <is>
          <t>/tmp/portfolio-feature-audit/runtime-discovery.md: Responsive and media behavior</t>
        </is>
      </c>
      <c r="J17" s="18" t="n">
        <v>46257</v>
      </c>
      <c r="K17" s="13" t="inlineStr">
        <is>
          <t>Unassigned</t>
        </is>
      </c>
      <c r="L17" s="13" t="inlineStr">
        <is>
          <t>Discovery evidence only; no production verification unless explicitly stated.</t>
        </is>
      </c>
    </row>
    <row r="18">
      <c r="A18" s="13" t="inlineStr">
        <is>
          <t>TR-RUNTIME-017</t>
        </is>
      </c>
      <c r="B18" s="13" t="inlineStr">
        <is>
          <t>Runtime Discovery</t>
        </is>
      </c>
      <c r="C18" s="13" t="inlineStr">
        <is>
          <t>Responsive routes</t>
        </is>
      </c>
      <c r="D18" s="13" t="inlineStr">
        <is>
          <t>1440x1000 desktop</t>
        </is>
      </c>
      <c r="E18" s="13" t="inlineStr">
        <is>
          <t>Render all five states</t>
        </is>
      </c>
      <c r="F18" s="13" t="inlineStr">
        <is>
          <t>No horizontal overflow and full desktop layouts</t>
        </is>
      </c>
      <c r="G18" s="13" t="inlineStr">
        <is>
          <t>Full captures completed with no horizontal overflow</t>
        </is>
      </c>
      <c r="H18" s="13" t="inlineStr">
        <is>
          <t>Passed</t>
        </is>
      </c>
      <c r="I18" s="13" t="inlineStr">
        <is>
          <t>/tmp/portfolio-feature-audit/runtime-discovery.md: Responsive and media behavior</t>
        </is>
      </c>
      <c r="J18" s="18" t="n">
        <v>46257</v>
      </c>
      <c r="K18" s="13" t="inlineStr">
        <is>
          <t>Unassigned</t>
        </is>
      </c>
      <c r="L18" s="13" t="inlineStr">
        <is>
          <t>Discovery evidence only; no production verification unless explicitly stated.</t>
        </is>
      </c>
    </row>
    <row r="19">
      <c r="A19" s="13" t="inlineStr">
        <is>
          <t>TR-RUNTIME-018</t>
        </is>
      </c>
      <c r="B19" s="13" t="inlineStr">
        <is>
          <t>Runtime Discovery</t>
        </is>
      </c>
      <c r="C19" s="13" t="inlineStr">
        <is>
          <t>Reduced motion</t>
        </is>
      </c>
      <c r="D19" s="13" t="inlineStr">
        <is>
          <t>Chromium prefers-reduced-motion</t>
        </is>
      </c>
      <c r="E19" s="13" t="inlineStr">
        <is>
          <t>Sample reveal/transition elements</t>
        </is>
      </c>
      <c r="F19" s="13" t="inlineStr">
        <is>
          <t>Animation and transition are removed while content remains</t>
        </is>
      </c>
      <c r="G19" s="13" t="inlineStr">
        <is>
          <t>Media query true; sampled animation-name none and durations 0s</t>
        </is>
      </c>
      <c r="H19" s="13" t="inlineStr">
        <is>
          <t>Passed</t>
        </is>
      </c>
      <c r="I19" s="13" t="inlineStr">
        <is>
          <t>/tmp/portfolio-feature-audit/runtime-discovery.md: Responsive and media behavior</t>
        </is>
      </c>
      <c r="J19" s="18" t="n">
        <v>46257</v>
      </c>
      <c r="K19" s="13" t="inlineStr">
        <is>
          <t>Unassigned</t>
        </is>
      </c>
      <c r="L19" s="13" t="inlineStr">
        <is>
          <t>Discovery evidence only; no production verification unless explicitly stated.</t>
        </is>
      </c>
    </row>
    <row r="20">
      <c r="A20" s="13" t="inlineStr">
        <is>
          <t>TR-RUNTIME-019</t>
        </is>
      </c>
      <c r="B20" s="13" t="inlineStr">
        <is>
          <t>Runtime Discovery</t>
        </is>
      </c>
      <c r="C20" s="13" t="inlineStr">
        <is>
          <t>Static delivery paths</t>
        </is>
      </c>
      <c r="D20" s="13" t="inlineStr">
        <is>
          <t>Local HTTP</t>
        </is>
      </c>
      <c r="E20" s="13" t="inlineStr">
        <is>
          <t>Request internal HTML, hashed HTML/CSS, and font paths</t>
        </is>
      </c>
      <c r="F20" s="13" t="inlineStr">
        <is>
          <t>Implementation HTML redirects; CSS/font assets respond</t>
        </is>
      </c>
      <c r="G20" s="13" t="inlineStr">
        <is>
          <t>Internal and hashed HTML returned 308 to /; CSS and font returned 200</t>
        </is>
      </c>
      <c r="H20" s="13" t="inlineStr">
        <is>
          <t>Passed</t>
        </is>
      </c>
      <c r="I20" s="13" t="inlineStr">
        <is>
          <t>/tmp/portfolio-feature-audit/runtime-discovery.md: Static delivery paths</t>
        </is>
      </c>
      <c r="J20" s="18" t="n">
        <v>46257</v>
      </c>
      <c r="K20" s="13" t="inlineStr">
        <is>
          <t>Unassigned</t>
        </is>
      </c>
      <c r="L20" s="13" t="inlineStr">
        <is>
          <t>Discovery evidence only; no production verification unless explicitly stated.</t>
        </is>
      </c>
    </row>
    <row r="21">
      <c r="A21" s="13" t="inlineStr">
        <is>
          <t>TR-RUNTIME-020</t>
        </is>
      </c>
      <c r="B21" s="13" t="inlineStr">
        <is>
          <t>Runtime Discovery</t>
        </is>
      </c>
      <c r="C21" s="13" t="inlineStr">
        <is>
          <t>Absolute metadata</t>
        </is>
      </c>
      <c r="D21" s="13" t="inlineStr">
        <is>
          <t>Local development</t>
        </is>
      </c>
      <c r="E21" s="13" t="inlineStr">
        <is>
          <t>Compare canonical, robots, and sitemap origins</t>
        </is>
      </c>
      <c r="F21" s="13" t="inlineStr">
        <is>
          <t>Absolute origins are intentional and consistent for the environment</t>
        </is>
      </c>
      <c r="G21" s="13" t="inlineStr">
        <is>
          <t>Static Home used production Vercel origin; dynamic routes/robots/sitemap used localhost</t>
        </is>
      </c>
      <c r="H21" s="13" t="inlineStr">
        <is>
          <t>Candidate</t>
        </is>
      </c>
      <c r="I21" s="13" t="inlineStr">
        <is>
          <t>/tmp/portfolio-feature-audit/runtime-discovery.md: Metadata-visible behavior; Findings and limits #2</t>
        </is>
      </c>
      <c r="J21" s="18" t="n">
        <v>46257</v>
      </c>
      <c r="K21" s="13" t="inlineStr">
        <is>
          <t>Unassigned</t>
        </is>
      </c>
      <c r="L21" s="13" t="inlineStr">
        <is>
          <t>Discovery evidence only; no production verification unless explicitly stated.</t>
        </is>
      </c>
    </row>
    <row r="22">
      <c r="A22" s="13" t="inlineStr">
        <is>
          <t>TR-RUNTIME-021</t>
        </is>
      </c>
      <c r="B22" s="13" t="inlineStr">
        <is>
          <t>Runtime Discovery</t>
        </is>
      </c>
      <c r="C22" s="13" t="inlineStr">
        <is>
          <t>Analytics script</t>
        </is>
      </c>
      <c r="D22" s="13" t="inlineStr">
        <is>
          <t>Local development</t>
        </is>
      </c>
      <c r="E22" s="13" t="inlineStr">
        <is>
          <t>Inspect route console and network</t>
        </is>
      </c>
      <c r="F22" s="13" t="inlineStr">
        <is>
          <t>No unexpected analytics loading errors</t>
        </is>
      </c>
      <c r="G22" s="13" t="inlineStr">
        <is>
          <t>/_vercel/insights/script.js returned 404 text/plain and was rejected by MIME checking</t>
        </is>
      </c>
      <c r="H22" s="13" t="inlineStr">
        <is>
          <t>Candidate</t>
        </is>
      </c>
      <c r="I22" s="13" t="inlineStr">
        <is>
          <t>/tmp/portfolio-feature-audit/runtime-discovery.md: Console/network observations; Findings and limits #1</t>
        </is>
      </c>
      <c r="J22" s="18" t="n">
        <v>46257</v>
      </c>
      <c r="K22" s="13" t="inlineStr">
        <is>
          <t>Unassigned</t>
        </is>
      </c>
      <c r="L22" s="13" t="inlineStr">
        <is>
          <t>Discovery evidence only; no production verification unless explicitly stated.</t>
        </is>
      </c>
    </row>
    <row r="23" ht="84" customHeight="1">
      <c r="A23" s="13" t="inlineStr">
        <is>
          <t>TR-BASE-CORE-001</t>
        </is>
      </c>
      <c r="B23" s="13" t="inlineStr">
        <is>
          <t>Baseline Verification</t>
        </is>
      </c>
      <c r="C23" s="13" t="inlineStr">
        <is>
          <t>Shell, navigation, Home, About, 404</t>
        </is>
      </c>
      <c r="D23" s="13" t="inlineStr">
        <is>
          <t>Chromium 390x844, 768x1024, 1440x1000; 1536 social precondition</t>
        </is>
      </c>
      <c r="E23" s="13" t="inlineStr">
        <is>
          <t>Exercise all 30 core stories, controls, keyboard, preferences, responsive states, and recovery paths</t>
        </is>
      </c>
      <c r="F23" s="13" t="inlineStr">
        <is>
          <t>Every scoped story has Pass, Fail, or Blocked with concrete evidence</t>
        </is>
      </c>
      <c r="G23" s="13" t="inlineStr">
        <is>
          <t>30/30 reconciled: 28 Pass, 0 Fail, 2 Blocked; relevant Candidate defects adjudicated</t>
        </is>
      </c>
      <c r="H23" s="13" t="inlineStr">
        <is>
          <t>Passed with caveat</t>
        </is>
      </c>
      <c r="I23" s="13" t="inlineStr">
        <is>
          <t>/tmp/portfolio-feature-audit/baseline/core-results.json; /tmp/portfolio-feature-audit/baseline/core-report.md</t>
        </is>
      </c>
      <c r="J23" s="18" t="n">
        <v>46257.56084490741</v>
      </c>
      <c r="K23" s="13" t="inlineStr">
        <is>
          <t>QA</t>
        </is>
      </c>
      <c r="L23" s="13" t="inlineStr">
        <is>
          <t>Blocked branches require reduced-transparency or unsafe-href component instrumentation.</t>
        </is>
      </c>
    </row>
    <row r="24" ht="84" customHeight="1">
      <c r="A24" s="13" t="inlineStr">
        <is>
          <t>TR-BASE-PROJ-001</t>
        </is>
      </c>
      <c r="B24" s="13" t="inlineStr">
        <is>
          <t>Baseline Verification</t>
        </is>
      </c>
      <c r="C24" s="13" t="inlineStr">
        <is>
          <t>/projects and project catalog stories</t>
        </is>
      </c>
      <c r="D24" s="13" t="inlineStr">
        <is>
          <t>Chromium 390x844, 768x1024, 1440x1000</t>
        </is>
      </c>
      <c r="E24" s="13" t="inlineStr">
        <is>
          <t>Exercise all 17 project stories, filters, live results, cards, links, details, and responsive density</t>
        </is>
      </c>
      <c r="F24" s="13" t="inlineStr">
        <is>
          <t>Every scoped story has Pass, Fail, or Blocked with concrete evidence</t>
        </is>
      </c>
      <c r="G24" s="13" t="inlineStr">
        <is>
          <t>17/17 reconciled: 14 Pass, 2 Fail, 1 Blocked; Traces alt/status mismatch confirmed</t>
        </is>
      </c>
      <c r="H24" s="13" t="inlineStr">
        <is>
          <t>Failed</t>
        </is>
      </c>
      <c r="I24" s="13" t="inlineStr">
        <is>
          <t>/tmp/portfolio-feature-audit/baseline/projects-results.json; /tmp/portfolio-feature-audit/baseline/projects-report.md</t>
        </is>
      </c>
      <c r="J24" s="18" t="n">
        <v>46257.56084490741</v>
      </c>
      <c r="K24" s="13" t="inlineStr">
        <is>
          <t>QA</t>
        </is>
      </c>
      <c r="L24" s="13" t="inlineStr">
        <is>
          <t>Zero-result branch is unreachable with the fixed nonempty category catalog.</t>
        </is>
      </c>
    </row>
    <row r="25" ht="84" customHeight="1">
      <c r="A25" s="13" t="inlineStr">
        <is>
          <t>TR-BASE-CONTACT-001</t>
        </is>
      </c>
      <c r="B25" s="13" t="inlineStr">
        <is>
          <t>Baseline Verification</t>
        </is>
      </c>
      <c r="C25" s="13" t="inlineStr">
        <is>
          <t>/contact plus SEO/operations/system rows</t>
        </is>
      </c>
      <c r="D25" s="13" t="inlineStr">
        <is>
          <t>Local/public HTTP; Chromium 390x844, 768x1024, 1440x1000</t>
        </is>
      </c>
      <c r="E25" s="13" t="inlineStr">
        <is>
          <t>Exercise all 30 contact/system stories, validation, clipboard, mailto, metadata, headers, assets, and quality gates</t>
        </is>
      </c>
      <c r="F25" s="13" t="inlineStr">
        <is>
          <t>Every scoped story has Pass, Fail, or Blocked with concrete evidence</t>
        </is>
      </c>
      <c r="G25" s="13" t="inlineStr">
        <is>
          <t>30/30 reconciled: 23 Pass, 7 Fail, 0 Blocked; BL-SYS-001 and six ledger Candidates confirmed</t>
        </is>
      </c>
      <c r="H25" s="13" t="inlineStr">
        <is>
          <t>Failed</t>
        </is>
      </c>
      <c r="I25" s="13" t="inlineStr">
        <is>
          <t>/tmp/portfolio-feature-audit/baseline/contact-system-results.json; /tmp/portfolio-feature-audit/baseline/contact-system-report.md</t>
        </is>
      </c>
      <c r="J25" s="18" t="n">
        <v>46257.56084490741</v>
      </c>
      <c r="K25" s="13" t="inlineStr">
        <is>
          <t>QA</t>
        </is>
      </c>
      <c r="L25" s="13" t="inlineStr">
        <is>
          <t>Public metadata and Analytics health reject the two local-only runtime observations as product defects.</t>
        </is>
      </c>
    </row>
    <row r="26" ht="84" customHeight="1">
      <c r="A26" s="13" t="inlineStr">
        <is>
          <t>TR-BASE-RECON-001</t>
        </is>
      </c>
      <c r="B26" s="13" t="inlineStr">
        <is>
          <t>Baseline Verification</t>
        </is>
      </c>
      <c r="C26" s="13" t="inlineStr">
        <is>
          <t>78-story union and PF-ABOUT-006 metadata</t>
        </is>
      </c>
      <c r="D26" s="13" t="inlineStr">
        <is>
          <t>Source, local HTTP :43127, public Vercel production</t>
        </is>
      </c>
      <c r="E26" s="13" t="inlineStr">
        <is>
          <t>Reconcile three result ledgers, identify missing ID, and validate About metadata locally and publicly</t>
        </is>
      </c>
      <c r="F26" s="13" t="inlineStr">
        <is>
          <t>78 unique IDs, zero Not Run, no orphan defect links, and public metadata consistency</t>
        </is>
      </c>
      <c r="G26" s="13" t="inlineStr">
        <is>
          <t>PF-ABOUT-006 was the only missing ID and passed; union is 66 Pass, 9 Fail, 3 Blocked</t>
        </is>
      </c>
      <c r="H26" s="13" t="inlineStr">
        <is>
          <t>Passed</t>
        </is>
      </c>
      <c r="I26" s="13" t="inlineStr">
        <is>
          <t>/tmp/portfolio-feature-audit/baseline/reconciliation-report.md; /tmp/portfolio-feature-audit/baseline/reconciliation/about-metadata-comparison.json</t>
        </is>
      </c>
      <c r="J26" s="18" t="n">
        <v>46257.56084490741</v>
      </c>
      <c r="K26" s="13" t="inlineStr">
        <is>
          <t>QA</t>
        </is>
      </c>
      <c r="L26" s="13" t="inlineStr">
        <is>
          <t>Production About canonical and Open Graph URL consistently use the production /about origin.</t>
        </is>
      </c>
    </row>
    <row r="27" ht="84" customHeight="1">
      <c r="A27" s="13" t="inlineStr">
        <is>
          <t>TR-POST-CORE-001</t>
        </is>
      </c>
      <c r="B27" s="13" t="inlineStr">
        <is>
          <t>Post-Fix Verification</t>
        </is>
      </c>
      <c r="C27" s="13" t="inlineStr">
        <is>
          <t>Shell, navigation, Home, About, 404</t>
        </is>
      </c>
      <c r="D27" s="13" t="inlineStr">
        <is>
          <t>agent-browser 390x844, exact 768x1024, 1440x1000; 1536 social precondition</t>
        </is>
      </c>
      <c r="E27" s="13" t="inlineStr">
        <is>
          <t>Retest 31 core stories, keyboard/focus, reduced motion, links, recovery, metadata, and image priority</t>
        </is>
      </c>
      <c r="F27" s="13" t="inlineStr">
        <is>
          <t>All repaired behaviors pass; unavailable preference/injection branches remain honestly blocked</t>
        </is>
      </c>
      <c r="G27" s="13" t="inlineStr">
        <is>
          <t>31/31: 29 Pass, 0 Fail, 2 Blocked; A11Y-EXT/A11Y-IMG/PERF-IMG passed; no regressions</t>
        </is>
      </c>
      <c r="H27" s="13" t="inlineStr">
        <is>
          <t>Passed with caveat</t>
        </is>
      </c>
      <c r="I27" s="13" t="inlineStr">
        <is>
          <t>/tmp/portfolio-feature-audit/postfix/core-results.json; /tmp/portfolio-feature-audit/postfix/core-report.md</t>
        </is>
      </c>
      <c r="J27" s="18" t="n">
        <v>46257.6050925926</v>
      </c>
      <c r="K27" s="13" t="inlineStr">
        <is>
          <t>QA</t>
        </is>
      </c>
      <c r="L27" s="13" t="inlineStr">
        <is>
          <t>PF-SHELL-004 and PF-NAV-008 remain blocked by runtime capability/input constraints.</t>
        </is>
      </c>
    </row>
    <row r="28" ht="84" customHeight="1">
      <c r="A28" s="13" t="inlineStr">
        <is>
          <t>TR-POST-PROJ-001</t>
        </is>
      </c>
      <c r="B28" s="13" t="inlineStr">
        <is>
          <t>Post-Fix Verification</t>
        </is>
      </c>
      <c r="C28" s="13" t="inlineStr">
        <is>
          <t>/projects and project catalog stories</t>
        </is>
      </c>
      <c r="D28" s="13" t="inlineStr">
        <is>
          <t>agent-browser 390x844, exact 768x1024, 1440x1000</t>
        </is>
      </c>
      <c r="E28" s="13" t="inlineStr">
        <is>
          <t>Retest 17 project stories, catalog, filters, details, links, alt text, and image loading</t>
        </is>
      </c>
      <c r="F28" s="13" t="inlineStr">
        <is>
          <t>All repaired behaviors pass; unreachable zero-result branch remains blocked</t>
        </is>
      </c>
      <c r="G28" s="13" t="inlineStr">
        <is>
          <t>Raw 15 Pass/1 Fail/1 Blocked; reconciled 16 Pass/0 Fail/1 Blocked after intentional PF-PROJ-011 lazy/auto contract update</t>
        </is>
      </c>
      <c r="H28" s="13" t="inlineStr">
        <is>
          <t>Passed with caveat</t>
        </is>
      </c>
      <c r="I28" s="13" t="inlineStr">
        <is>
          <t>/tmp/portfolio-feature-audit/postfix/projects-results.json; /tmp/portfolio-feature-audit/postfix/projects-report.md</t>
        </is>
      </c>
      <c r="J28" s="18" t="n">
        <v>46257.6050925926</v>
      </c>
      <c r="K28" s="13" t="inlineStr">
        <is>
          <t>QA</t>
        </is>
      </c>
      <c r="L28" s="13" t="inlineStr">
        <is>
          <t>Raw PF-PROJ-011 Fail is preserved; it represented the superseded eager-priority phrase, not repaired runtime behavior.</t>
        </is>
      </c>
    </row>
    <row r="29" ht="84" customHeight="1">
      <c r="A29" s="13" t="inlineStr">
        <is>
          <t>TR-POST-CONTACT-001</t>
        </is>
      </c>
      <c r="B29" s="13" t="inlineStr">
        <is>
          <t>Post-Fix Verification</t>
        </is>
      </c>
      <c r="C29" s="13" t="inlineStr">
        <is>
          <t>/contact plus SEO/operations/system rows</t>
        </is>
      </c>
      <c r="D29" s="13" t="inlineStr">
        <is>
          <t>agent-browser 390x844, exact 768x1024, 1440x1000 plus integration evidence</t>
        </is>
      </c>
      <c r="E29" s="13" t="inlineStr">
        <is>
          <t>Retest 30 Contact/system stories, state, limits, sticky geometry, external names, metadata, headers, and assets</t>
        </is>
      </c>
      <c r="F29" s="13" t="inlineStr">
        <is>
          <t>30/30 Pass with all assigned Contact/system defects verified fixed</t>
        </is>
      </c>
      <c r="G29" s="13" t="inlineStr">
        <is>
          <t>30/30 Pass, 0 Fail, 0 Blocked; seven lane defects verified and no regressions</t>
        </is>
      </c>
      <c r="H29" s="13" t="inlineStr">
        <is>
          <t>Passed</t>
        </is>
      </c>
      <c r="I29" s="13" t="inlineStr">
        <is>
          <t>/tmp/portfolio-feature-audit/postfix/contact-system-results.json; /tmp/portfolio-feature-audit/postfix/contact-system-report.md</t>
        </is>
      </c>
      <c r="J29" s="18" t="n">
        <v>46257.6050925926</v>
      </c>
      <c r="K29" s="13" t="inlineStr">
        <is>
          <t>QA</t>
        </is>
      </c>
      <c r="L29" s="13" t="inlineStr">
        <is>
          <t>OS mail handler and real screen reader were safely not invoked; controlled boundaries passed.</t>
        </is>
      </c>
    </row>
    <row r="30" ht="84" customHeight="1">
      <c r="A30" s="13" t="inlineStr">
        <is>
          <t>TR-POST-INTEGRATION-001</t>
        </is>
      </c>
      <c r="B30" s="13" t="inlineStr">
        <is>
          <t>Post-Fix Verification</t>
        </is>
      </c>
      <c r="C30" s="13" t="inlineStr">
        <is>
          <t>Full authorized repair diff and validation matrix</t>
        </is>
      </c>
      <c r="D30" s="13" t="inlineStr">
        <is>
          <t>Clean Next 16.3.1 build; Chromium, Firefox, WebKit</t>
        </is>
      </c>
      <c r="E30" s="13" t="inlineStr">
        <is>
          <t>Review repair-only diff and run unit/static/lint/type/build/integrity/full browser matrix</t>
        </is>
      </c>
      <c r="F30" s="13" t="inlineStr">
        <is>
          <t>All nine authorized repairs present; rejected candidates untouched; every final gate green</t>
        </is>
      </c>
      <c r="G30" s="13" t="inlineStr">
        <is>
          <t>PASS: 156/156 unit, 3/3 static, lint/type/build/integrity, and 18/18 browser tests; nine repairs verified</t>
        </is>
      </c>
      <c r="H30" s="13" t="inlineStr">
        <is>
          <t>Passed</t>
        </is>
      </c>
      <c r="I30" s="13" t="inlineStr">
        <is>
          <t>/tmp/portfolio-feature-audit/postfix/integration-report.md; /tmp/portfolio-feature-audit/postfix/validation-results.json</t>
        </is>
      </c>
      <c r="J30" s="18" t="n">
        <v>46257.6050925926</v>
      </c>
      <c r="K30" s="13" t="inlineStr">
        <is>
          <t>QA</t>
        </is>
      </c>
      <c r="L30" s="13" t="inlineStr">
        <is>
          <t>No source overlap loss, unrelated product edits, or integration blocker remained.</t>
        </is>
      </c>
    </row>
    <row r="31" ht="84" customHeight="1">
      <c r="A31" s="13" t="inlineStr">
        <is>
          <t>TR-POST-RECON-001</t>
        </is>
      </c>
      <c r="B31" s="13" t="inlineStr">
        <is>
          <t>Post-Fix Verification</t>
        </is>
      </c>
      <c r="C31" s="13" t="inlineStr">
        <is>
          <t>Canonical 78-story and 13-defect reconciliation</t>
        </is>
      </c>
      <c r="D31" s="13" t="inlineStr">
        <is>
          <t>Three post-fix result ledgers plus integration evidence</t>
        </is>
      </c>
      <c r="E31" s="13" t="inlineStr">
        <is>
          <t>Reconcile all IDs, migrate PF-PROJ-011 performance contract, defects, formulas, and evidence</t>
        </is>
      </c>
      <c r="F31" s="13" t="inlineStr">
        <is>
          <t>75 Pass, 3 Blocked, 0 Fail/Not Run; nine Verified repairs, four Closed/rejected defects</t>
        </is>
      </c>
      <c r="G31" s="13" t="inlineStr">
        <is>
          <t>78/78 reconciled; PF-PROJ-011 raw Fail preserved and final Pass under authorized lazy/auto contract</t>
        </is>
      </c>
      <c r="H31" s="13" t="inlineStr">
        <is>
          <t>Passed</t>
        </is>
      </c>
      <c r="I31" s="13" t="inlineStr">
        <is>
          <t>/tmp/portfolio-feature-audit/postfix/final-ledger-report.md; /tmp/portfolio-feature-audit/postfix/final-ledger-validation.json</t>
        </is>
      </c>
      <c r="J31" s="18" t="n">
        <v>46257.6050925926</v>
      </c>
      <c r="K31" s="13" t="inlineStr">
        <is>
          <t>QA</t>
        </is>
      </c>
      <c r="L31" s="13" t="inlineStr">
        <is>
          <t>Canonical workbook writer run; baseline status/evidence/history preserved.</t>
        </is>
      </c>
    </row>
  </sheetData>
  <autoFilter ref="A1:L31"/>
  <conditionalFormatting sqref="H2:H22">
    <cfRule type="expression" priority="1" dxfId="1">
      <formula>H2="Passed"</formula>
    </cfRule>
    <cfRule type="expression" priority="2" dxfId="2">
      <formula>H2="Passed with caveat"</formula>
    </cfRule>
    <cfRule type="expression" priority="3" dxfId="5">
      <formula>H2="Candidate"</formula>
    </cfRule>
    <cfRule type="expression" priority="4" dxfId="3">
      <formula>H2="Failed"</formula>
    </cfRule>
  </conditionalFormatting>
  <conditionalFormatting sqref="H23:H26">
    <cfRule type="expression" priority="1" dxfId="1">
      <formula>H23="Passed"</formula>
    </cfRule>
    <cfRule type="expression" priority="2" dxfId="2">
      <formula>H23="Passed with caveat"</formula>
    </cfRule>
    <cfRule type="expression" priority="3" dxfId="5">
      <formula>H23="Candidate"</formula>
    </cfRule>
    <cfRule type="expression" priority="4" dxfId="3">
      <formula>H23="Failed"</formula>
    </cfRule>
  </conditionalFormatting>
  <conditionalFormatting sqref="H27:H31">
    <cfRule type="expression" priority="1" dxfId="1">
      <formula>H27="Passed"</formula>
    </cfRule>
    <cfRule type="expression" priority="2" dxfId="2">
      <formula>H27="Passed with caveat"</formula>
    </cfRule>
    <cfRule type="expression" priority="3" dxfId="5">
      <formula>H27="Candidate"</formula>
    </cfRule>
    <cfRule type="expression" priority="4" dxfId="3">
      <formula>H27="Failed"</formula>
    </cfRule>
  </conditionalFormatting>
  <dataValidations count="2">
    <dataValidation sqref="H2:H31" showDropDown="0" showInputMessage="1" showErrorMessage="1" allowBlank="0" errorTitle="Invalid value" error="Choose a value from the approved list." promptTitle="Controlled field" prompt="Observed result classification" type="list">
      <formula1>TestResults</formula1>
    </dataValidation>
    <dataValidation sqref="K2:K31" showDropDown="0" showInputMessage="1" showErrorMessage="1" allowBlank="0" errorTitle="Invalid value" error="Choose a value from the approved list." promptTitle="Controlled field" prompt="Accountable owner" type="list">
      <formula1>Owners</formula1>
    </dataValidation>
  </dataValidations>
  <pageMargins left="0.75" right="0.75" top="1" bottom="1" header="0.5" footer="0.5"/>
  <pageSetup orientation="landscape" paperSize="8" fitToHeight="0" fitToWidth="2" pageOrder="overThenDown"/>
  <headerFooter>
    <oddHeader>&amp;LTest Runs</oddHeader>
    <oddFooter>&amp;CPage &amp;P of &amp;N&amp;RPortfolio Feature Ledger</oddFooter>
    <evenHeader/>
    <evenFooter/>
    <firstHeader/>
    <firstFooter/>
  </headerFooter>
</worksheet>
</file>

<file path=xl/worksheets/sheet5.xml><?xml version="1.0" encoding="utf-8"?>
<worksheet xmlns="http://schemas.openxmlformats.org/spreadsheetml/2006/main">
  <sheetPr>
    <tabColor rgb="00666666"/>
    <outlinePr summaryBelow="1" summaryRight="1"/>
    <pageSetUpPr fitToPage="1"/>
  </sheetPr>
  <dimension ref="A1:J8"/>
  <sheetViews>
    <sheetView showGridLines="0"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5" t="inlineStr">
        <is>
          <t>Feature Phases</t>
        </is>
      </c>
      <c r="B1" s="15" t="inlineStr">
        <is>
          <t>Defect Phases</t>
        </is>
      </c>
      <c r="C1" s="15" t="inlineStr">
        <is>
          <t>Lifecycle Statuses</t>
        </is>
      </c>
      <c r="D1" s="15" t="inlineStr">
        <is>
          <t>Severities</t>
        </is>
      </c>
      <c r="E1" s="15" t="inlineStr">
        <is>
          <t>Owners</t>
        </is>
      </c>
      <c r="F1" s="15" t="inlineStr">
        <is>
          <t>Verification Statuses</t>
        </is>
      </c>
      <c r="G1" s="15" t="inlineStr">
        <is>
          <t>Test Results</t>
        </is>
      </c>
      <c r="H1" s="15" t="inlineStr">
        <is>
          <t>All Phases</t>
        </is>
      </c>
      <c r="I1" s="15" t="inlineStr">
        <is>
          <t>Activation States</t>
        </is>
      </c>
      <c r="J1" s="15" t="inlineStr">
        <is>
          <t>Fix Statuses</t>
        </is>
      </c>
    </row>
    <row r="2">
      <c r="A2" s="16" t="inlineStr">
        <is>
          <t>Code Inventory</t>
        </is>
      </c>
      <c r="B2" s="16" t="inlineStr">
        <is>
          <t>Static UX Audit</t>
        </is>
      </c>
      <c r="C2" s="16" t="inlineStr">
        <is>
          <t>Documented</t>
        </is>
      </c>
      <c r="D2" s="16" t="inlineStr">
        <is>
          <t>Critical</t>
        </is>
      </c>
      <c r="E2" s="16" t="inlineStr">
        <is>
          <t>Unassigned</t>
        </is>
      </c>
      <c r="F2" s="16" t="inlineStr">
        <is>
          <t>Not Run</t>
        </is>
      </c>
      <c r="G2" s="16" t="inlineStr">
        <is>
          <t>Passed</t>
        </is>
      </c>
      <c r="H2" s="16" t="inlineStr">
        <is>
          <t>Code Inventory</t>
        </is>
      </c>
      <c r="I2" s="16" t="inlineStr">
        <is>
          <t>Active</t>
        </is>
      </c>
      <c r="J2" t="inlineStr">
        <is>
          <t>Not Started</t>
        </is>
      </c>
    </row>
    <row r="3">
      <c r="A3" s="16" t="n"/>
      <c r="B3" s="16" t="inlineStr">
        <is>
          <t>Runtime Discovery</t>
        </is>
      </c>
      <c r="C3" s="16" t="inlineStr">
        <is>
          <t>Candidate</t>
        </is>
      </c>
      <c r="D3" s="16" t="inlineStr">
        <is>
          <t>High</t>
        </is>
      </c>
      <c r="E3" s="16" t="inlineStr">
        <is>
          <t>Product</t>
        </is>
      </c>
      <c r="F3" s="16" t="inlineStr">
        <is>
          <t>Pass</t>
        </is>
      </c>
      <c r="G3" s="16" t="inlineStr">
        <is>
          <t>Passed with caveat</t>
        </is>
      </c>
      <c r="H3" s="16" t="inlineStr">
        <is>
          <t>Static UX Audit</t>
        </is>
      </c>
      <c r="I3" s="16" t="inlineStr">
        <is>
          <t>Inactive / Dormant</t>
        </is>
      </c>
      <c r="J3" t="inlineStr">
        <is>
          <t>In Progress</t>
        </is>
      </c>
    </row>
    <row r="4">
      <c r="A4" s="16" t="n"/>
      <c r="B4" s="16" t="inlineStr">
        <is>
          <t>Baseline Verification</t>
        </is>
      </c>
      <c r="C4" s="16" t="inlineStr">
        <is>
          <t>Planned</t>
        </is>
      </c>
      <c r="D4" s="16" t="inlineStr">
        <is>
          <t>Medium</t>
        </is>
      </c>
      <c r="E4" s="16" t="inlineStr">
        <is>
          <t>Design</t>
        </is>
      </c>
      <c r="F4" s="16" t="inlineStr">
        <is>
          <t>Pass with caveat</t>
        </is>
      </c>
      <c r="G4" s="16" t="inlineStr">
        <is>
          <t>Candidate</t>
        </is>
      </c>
      <c r="H4" s="16" t="inlineStr">
        <is>
          <t>Runtime Discovery</t>
        </is>
      </c>
      <c r="I4" s="16" t="n"/>
      <c r="J4" t="inlineStr">
        <is>
          <t>Fixed</t>
        </is>
      </c>
    </row>
    <row r="5">
      <c r="A5" s="16" t="n"/>
      <c r="B5" s="16" t="inlineStr">
        <is>
          <t>Post-Fix Verification</t>
        </is>
      </c>
      <c r="C5" s="16" t="inlineStr">
        <is>
          <t>In Progress</t>
        </is>
      </c>
      <c r="D5" s="16" t="inlineStr">
        <is>
          <t>Low</t>
        </is>
      </c>
      <c r="E5" s="16" t="inlineStr">
        <is>
          <t>Engineering</t>
        </is>
      </c>
      <c r="F5" s="16" t="inlineStr">
        <is>
          <t>Fail</t>
        </is>
      </c>
      <c r="G5" s="16" t="inlineStr">
        <is>
          <t>Failed</t>
        </is>
      </c>
      <c r="H5" s="16" t="inlineStr">
        <is>
          <t>Baseline Verification</t>
        </is>
      </c>
      <c r="I5" s="16" t="n"/>
      <c r="J5" t="inlineStr">
        <is>
          <t>Deferred</t>
        </is>
      </c>
    </row>
    <row r="6">
      <c r="A6" s="16" t="n"/>
      <c r="B6" s="16" t="n"/>
      <c r="C6" s="16" t="inlineStr">
        <is>
          <t>Verified</t>
        </is>
      </c>
      <c r="D6" s="16" t="n"/>
      <c r="E6" s="16" t="inlineStr">
        <is>
          <t>QA</t>
        </is>
      </c>
      <c r="F6" s="16" t="inlineStr">
        <is>
          <t>Blocked</t>
        </is>
      </c>
      <c r="G6" s="16" t="inlineStr">
        <is>
          <t>Not Run</t>
        </is>
      </c>
      <c r="H6" s="16" t="inlineStr">
        <is>
          <t>Post-Fix Verification</t>
        </is>
      </c>
      <c r="I6" s="16" t="n"/>
      <c r="J6" t="inlineStr">
        <is>
          <t>Won't Fix</t>
        </is>
      </c>
    </row>
    <row r="7">
      <c r="A7" s="16" t="n"/>
      <c r="B7" s="16" t="n"/>
      <c r="C7" s="16" t="inlineStr">
        <is>
          <t>Deferred</t>
        </is>
      </c>
      <c r="D7" s="16" t="n"/>
      <c r="E7" s="16" t="inlineStr">
        <is>
          <t>Accessibility</t>
        </is>
      </c>
      <c r="F7" s="16" t="n"/>
      <c r="G7" s="16" t="n"/>
      <c r="H7" s="16" t="n"/>
      <c r="I7" s="16" t="n"/>
    </row>
    <row r="8">
      <c r="A8" s="16" t="n"/>
      <c r="B8" s="16" t="n"/>
      <c r="C8" s="16" t="inlineStr">
        <is>
          <t>Closed</t>
        </is>
      </c>
      <c r="D8" s="16" t="n"/>
      <c r="E8" s="16" t="inlineStr">
        <is>
          <t>Performance</t>
        </is>
      </c>
      <c r="F8" s="16" t="n"/>
      <c r="G8" s="16" t="n"/>
      <c r="H8" s="16" t="n"/>
      <c r="I8" s="16" t="n"/>
    </row>
  </sheetData>
  <autoFilter ref="A1:J8"/>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2026-08-23T16:07:33Z</dcterms:created>
  <dcterms:modified xsi:type="dcterms:W3CDTF">2026-10-13T11:21:29Z</dcterms:modified>
</cp:coreProperties>
</file>